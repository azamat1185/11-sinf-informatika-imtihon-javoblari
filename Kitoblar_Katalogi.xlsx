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toblar Katalogi" sheetId="1" state="visible" r:id="rId3"/>
    <sheet name="ID bo'yicha Qidiruv" sheetId="2" state="visible" r:id="rId4"/>
    <sheet name="Narx bo'yicha Saralash" sheetId="3" state="visible" r:id="rId5"/>
  </sheets>
  <definedNames>
    <definedName function="false" hidden="true" localSheetId="0" name="_xlnm._FilterDatabase" vbProcedure="false">'Kitoblar Katalogi'!$A$2:$G$52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<sst xmlns="http://schemas.openxmlformats.org/spreadsheetml/2006/main" count="178" uniqueCount="110">
  <si>
    <t xml:space="preserve">📚  KITOBLAR KATALOGI — Boshqaruv Tizimi</t>
  </si>
  <si>
    <t xml:space="preserve">ID</t>
  </si>
  <si>
    <t xml:space="preserve">Kitob nomi</t>
  </si>
  <si>
    <t xml:space="preserve">Muallif</t>
  </si>
  <si>
    <t xml:space="preserve">Janr</t>
  </si>
  <si>
    <t xml:space="preserve">Narx (so'm)</t>
  </si>
  <si>
    <t xml:space="preserve">Soni</t>
  </si>
  <si>
    <t xml:space="preserve">Umumiy qiymat</t>
  </si>
  <si>
    <t xml:space="preserve">O'tkan kunlar</t>
  </si>
  <si>
    <t xml:space="preserve">Abdulla Qodiriy</t>
  </si>
  <si>
    <t xml:space="preserve">Fantastika</t>
  </si>
  <si>
    <t xml:space="preserve">Mehrobdan chayon</t>
  </si>
  <si>
    <t xml:space="preserve">Tarix</t>
  </si>
  <si>
    <t xml:space="preserve">Sarob</t>
  </si>
  <si>
    <t xml:space="preserve">Abdulla Qahhor</t>
  </si>
  <si>
    <t xml:space="preserve">Ilm-fan</t>
  </si>
  <si>
    <t xml:space="preserve">Qo'shchinor chiroqlari</t>
  </si>
  <si>
    <t xml:space="preserve">Oybek</t>
  </si>
  <si>
    <t xml:space="preserve">She'riyat</t>
  </si>
  <si>
    <t xml:space="preserve">Navoiy</t>
  </si>
  <si>
    <t xml:space="preserve">Falsafa</t>
  </si>
  <si>
    <t xml:space="preserve">Ulug'bek xazinasi</t>
  </si>
  <si>
    <t xml:space="preserve">Mirmuhsin</t>
  </si>
  <si>
    <t xml:space="preserve">Biografiya</t>
  </si>
  <si>
    <t xml:space="preserve">Shum bola</t>
  </si>
  <si>
    <t xml:space="preserve">G'afur G'ulom</t>
  </si>
  <si>
    <t xml:space="preserve">Detektiv</t>
  </si>
  <si>
    <t xml:space="preserve">Dunyoning ishlari</t>
  </si>
  <si>
    <t xml:space="preserve">Said Ahmad</t>
  </si>
  <si>
    <t xml:space="preserve">Psixologiya</t>
  </si>
  <si>
    <t xml:space="preserve">Yulduzli tunlar</t>
  </si>
  <si>
    <t xml:space="preserve">Pirimqul Qodirov</t>
  </si>
  <si>
    <t xml:space="preserve">Bolalar</t>
  </si>
  <si>
    <t xml:space="preserve">Avlodlar dovoni</t>
  </si>
  <si>
    <t xml:space="preserve">Roman</t>
  </si>
  <si>
    <t xml:space="preserve">Don Kixot</t>
  </si>
  <si>
    <t xml:space="preserve">Servantes</t>
  </si>
  <si>
    <t xml:space="preserve">Romeo va Juletta</t>
  </si>
  <si>
    <t xml:space="preserve">Shekspir</t>
  </si>
  <si>
    <t xml:space="preserve">Urush va tinchlik</t>
  </si>
  <si>
    <t xml:space="preserve">Tolstoy</t>
  </si>
  <si>
    <t xml:space="preserve">Anna Karenina</t>
  </si>
  <si>
    <t xml:space="preserve">Jinoyat va jazo</t>
  </si>
  <si>
    <t xml:space="preserve">Dostoevskiy</t>
  </si>
  <si>
    <t xml:space="preserve">Idiot</t>
  </si>
  <si>
    <t xml:space="preserve">Usta va Margarita</t>
  </si>
  <si>
    <t xml:space="preserve">Bulgakov</t>
  </si>
  <si>
    <t xml:space="preserve">100 yillik yolg'izlik</t>
  </si>
  <si>
    <t xml:space="preserve">Markes</t>
  </si>
  <si>
    <t xml:space="preserve">Alximik</t>
  </si>
  <si>
    <t xml:space="preserve">Koelo</t>
  </si>
  <si>
    <t xml:space="preserve">Pinhon hayot</t>
  </si>
  <si>
    <t xml:space="preserve">Orhan Pamuk</t>
  </si>
  <si>
    <t xml:space="preserve">Qor</t>
  </si>
  <si>
    <t xml:space="preserve">Uy</t>
  </si>
  <si>
    <t xml:space="preserve">Marilynne Robinson</t>
  </si>
  <si>
    <t xml:space="preserve">Buyuk Getsbi</t>
  </si>
  <si>
    <t xml:space="preserve">Fitzgerald</t>
  </si>
  <si>
    <t xml:space="preserve">Chol va dengiz</t>
  </si>
  <si>
    <t xml:space="preserve">Xeminguey</t>
  </si>
  <si>
    <t xml:space="preserve">1984</t>
  </si>
  <si>
    <t xml:space="preserve">Jorj Oruell</t>
  </si>
  <si>
    <t xml:space="preserve">Hayvonlar fermasi</t>
  </si>
  <si>
    <t xml:space="preserve">Yangi jasur dunyo</t>
  </si>
  <si>
    <t xml:space="preserve">Oldos Haksli</t>
  </si>
  <si>
    <t xml:space="preserve">Fahrenheit 451</t>
  </si>
  <si>
    <t xml:space="preserve">Rey Bredberri</t>
  </si>
  <si>
    <t xml:space="preserve">Yo'qolgan vaqt izidan</t>
  </si>
  <si>
    <t xml:space="preserve">Prust</t>
  </si>
  <si>
    <t xml:space="preserve">Odisseya</t>
  </si>
  <si>
    <t xml:space="preserve">Gomer</t>
  </si>
  <si>
    <t xml:space="preserve">Iliad</t>
  </si>
  <si>
    <t xml:space="preserve">Faust</t>
  </si>
  <si>
    <t xml:space="preserve">Gyote</t>
  </si>
  <si>
    <t xml:space="preserve">Dante Aligeri</t>
  </si>
  <si>
    <t xml:space="preserve">Ilohiy komediya</t>
  </si>
  <si>
    <t xml:space="preserve">Hamlet</t>
  </si>
  <si>
    <t xml:space="preserve">Makbet</t>
  </si>
  <si>
    <t xml:space="preserve">Otello</t>
  </si>
  <si>
    <t xml:space="preserve">Kichkina knyaz</t>
  </si>
  <si>
    <t xml:space="preserve">Sent-Ekzyuperi</t>
  </si>
  <si>
    <t xml:space="preserve">Robinzon Kruzo</t>
  </si>
  <si>
    <t xml:space="preserve">Defo</t>
  </si>
  <si>
    <t xml:space="preserve">Mobi Dik</t>
  </si>
  <si>
    <t xml:space="preserve">Melvill</t>
  </si>
  <si>
    <t xml:space="preserve">Baxtsiz oshiq</t>
  </si>
  <si>
    <t xml:space="preserve">Qizil va qora</t>
  </si>
  <si>
    <t xml:space="preserve">Stendal</t>
  </si>
  <si>
    <t xml:space="preserve">Baxtsizlar</t>
  </si>
  <si>
    <t xml:space="preserve">Gyugo</t>
  </si>
  <si>
    <t xml:space="preserve">Graf Monte-Kristo</t>
  </si>
  <si>
    <t xml:space="preserve">Dyuma</t>
  </si>
  <si>
    <t xml:space="preserve">Uch mushketyor</t>
  </si>
  <si>
    <t xml:space="preserve">Piter Pan</t>
  </si>
  <si>
    <t xml:space="preserve">Barri</t>
  </si>
  <si>
    <t xml:space="preserve">Alisa mo'jizalar mamlakatida</t>
  </si>
  <si>
    <t xml:space="preserve">Kerroll</t>
  </si>
  <si>
    <t xml:space="preserve">Mushtumzo'r</t>
  </si>
  <si>
    <t xml:space="preserve">Sincaloy</t>
  </si>
  <si>
    <t xml:space="preserve">Asqad Muxtor</t>
  </si>
  <si>
    <t xml:space="preserve">Dafina</t>
  </si>
  <si>
    <t xml:space="preserve">Shukur Xolmirzayev</t>
  </si>
  <si>
    <t xml:space="preserve">Ko'hna dunyo</t>
  </si>
  <si>
    <t xml:space="preserve">Tog'ay Murod</t>
  </si>
  <si>
    <t xml:space="preserve">JAMI:</t>
  </si>
  <si>
    <t xml:space="preserve">🔍  ID bo'yicha Kitob Qidirish</t>
  </si>
  <si>
    <t xml:space="preserve">Kitob ID kiriting:</t>
  </si>
  <si>
    <t xml:space="preserve">💡 B3 katakdagi ID raqamini o'zgartiring — natija avtomatik yangilanadi.</t>
  </si>
  <si>
    <t xml:space="preserve">💰  Narx bo'yicha Saralangan Kitoblar</t>
  </si>
  <si>
    <t xml:space="preserve">ℹ️  Bu varaqda 'Kitoblar Katalogi' varaqidagi ma'lumotlarni narx bo'yicha saralash uchun Katalog varag'iga qayting va Narx ustuniga 'Saralash' buyrug'ini bering.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</si>
</sst>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2B7DE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B7DE9"/>
        <bgColor rgb="FF0066CC"/>
      </patternFill>
    </fill>
    <fill>
      <patternFill patternType="solid">
        <fgColor rgb="FFFFFFFF"/>
        <bgColor rgb="FFF0F8FF"/>
      </patternFill>
    </fill>
    <fill>
      <patternFill patternType="solid">
        <fgColor rgb="FFEDF2F7"/>
        <bgColor rgb="FFE8F4FD"/>
      </patternFill>
    </fill>
    <fill>
      <patternFill patternType="solid">
        <fgColor rgb="FFFFF3CD"/>
        <bgColor rgb="FFEDF2F7"/>
      </patternFill>
    </fill>
    <fill>
      <patternFill patternType="solid">
        <fgColor rgb="FFE8F4FD"/>
        <bgColor rgb="FFEDF2F7"/>
      </patternFill>
    </fill>
    <fill>
      <patternFill patternType="solid">
        <fgColor rgb="FFF0F8FF"/>
        <bgColor rgb="FFE8F4F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 diagonalUp="false" diagonalDown="false">
      <left style="thin">
        <color rgb="FFBBCFE0"/>
      </left>
      <right style="thin">
        <color rgb="FFBBCFE0"/>
      </right>
      <top style="thin">
        <color rgb="FFBBCFE0"/>
      </top>
      <bottom style="thin">
        <color rgb="FFBBCFE0"/>
      </bottom>
      <diagonal/>
    </border>
    <border diagonalUp="false" diagonalDown="false">
      <left style="medium">
        <color rgb="FF1E3A5F"/>
      </left>
      <right/>
      <top style="medium">
        <color rgb="FF1E3A5F"/>
      </top>
      <bottom style="medium">
        <color rgb="FF1E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B7DE9"/>
          <bgColor rgb="FF000000"/>
        </patternFill>
      </fill>
    </dxf>
    <dxf>
      <fill>
        <patternFill patternType="solid">
          <fgColor rgb="FFEDF2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3CD"/>
      <rgbColor rgb="FFE8F4FD"/>
      <rgbColor rgb="FF660066"/>
      <rgbColor rgb="FFFF8080"/>
      <rgbColor rgb="FF0066CC"/>
      <rgbColor rgb="FFBBCF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EDF2F7"/>
      <rgbColor rgb="FFFFFF99"/>
      <rgbColor rgb="FF99CCFF"/>
      <rgbColor rgb="FFFF99CC"/>
      <rgbColor rgb="FFCC99FF"/>
      <rgbColor rgb="FFFFCC99"/>
      <rgbColor rgb="FF2B7DE9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8"/>
    <col collapsed="false" customWidth="true" hidden="false" outlineLevel="0" max="7" min="7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n">
        <v>1</v>
      </c>
      <c r="B3" s="4" t="s">
        <v>8</v>
      </c>
      <c r="C3" s="4" t="s">
        <v>9</v>
      </c>
      <c r="D3" s="3" t="s">
        <v>10</v>
      </c>
      <c r="E3" s="5" t="n">
        <v>98810</v>
      </c>
      <c r="F3" s="3" t="n">
        <v>8</v>
      </c>
      <c r="G3" s="5" t="n">
        <f aca="false">E3*F3</f>
        <v>790480</v>
      </c>
    </row>
    <row r="4" customFormat="false" ht="15" hidden="false" customHeight="false" outlineLevel="0" collapsed="false">
      <c r="A4" s="6" t="n">
        <v>2</v>
      </c>
      <c r="B4" s="7" t="s">
        <v>11</v>
      </c>
      <c r="C4" s="7" t="s">
        <v>9</v>
      </c>
      <c r="D4" s="6" t="s">
        <v>12</v>
      </c>
      <c r="E4" s="8" t="n">
        <v>18278</v>
      </c>
      <c r="F4" s="6" t="n">
        <v>48</v>
      </c>
      <c r="G4" s="8" t="n">
        <f aca="false">E4*F4</f>
        <v>877344</v>
      </c>
    </row>
    <row r="5" customFormat="false" ht="15" hidden="false" customHeight="false" outlineLevel="0" collapsed="false">
      <c r="A5" s="3" t="n">
        <v>3</v>
      </c>
      <c r="B5" s="4" t="s">
        <v>13</v>
      </c>
      <c r="C5" s="4" t="s">
        <v>14</v>
      </c>
      <c r="D5" s="3" t="s">
        <v>15</v>
      </c>
      <c r="E5" s="5" t="n">
        <v>51048</v>
      </c>
      <c r="F5" s="3" t="n">
        <v>16</v>
      </c>
      <c r="G5" s="5" t="n">
        <f aca="false">E5*F5</f>
        <v>816768</v>
      </c>
    </row>
    <row r="6" customFormat="false" ht="15" hidden="false" customHeight="false" outlineLevel="0" collapsed="false">
      <c r="A6" s="6" t="n">
        <v>4</v>
      </c>
      <c r="B6" s="7" t="s">
        <v>16</v>
      </c>
      <c r="C6" s="7" t="s">
        <v>17</v>
      </c>
      <c r="D6" s="6" t="s">
        <v>18</v>
      </c>
      <c r="E6" s="8" t="n">
        <v>44256</v>
      </c>
      <c r="F6" s="6" t="n">
        <v>9</v>
      </c>
      <c r="G6" s="8" t="n">
        <f aca="false">E6*F6</f>
        <v>398304</v>
      </c>
    </row>
    <row r="7" customFormat="false" ht="15" hidden="false" customHeight="false" outlineLevel="0" collapsed="false">
      <c r="A7" s="3" t="n">
        <v>5</v>
      </c>
      <c r="B7" s="4" t="s">
        <v>19</v>
      </c>
      <c r="C7" s="4" t="s">
        <v>17</v>
      </c>
      <c r="D7" s="3" t="s">
        <v>20</v>
      </c>
      <c r="E7" s="5" t="n">
        <v>111530</v>
      </c>
      <c r="F7" s="3" t="n">
        <v>7</v>
      </c>
      <c r="G7" s="5" t="n">
        <f aca="false">E7*F7</f>
        <v>780710</v>
      </c>
    </row>
    <row r="8" customFormat="false" ht="15" hidden="false" customHeight="false" outlineLevel="0" collapsed="false">
      <c r="A8" s="6" t="n">
        <v>6</v>
      </c>
      <c r="B8" s="7" t="s">
        <v>21</v>
      </c>
      <c r="C8" s="7" t="s">
        <v>22</v>
      </c>
      <c r="D8" s="6" t="s">
        <v>23</v>
      </c>
      <c r="E8" s="8" t="n">
        <v>103696</v>
      </c>
      <c r="F8" s="6" t="n">
        <v>48</v>
      </c>
      <c r="G8" s="8" t="n">
        <f aca="false">E8*F8</f>
        <v>4977408</v>
      </c>
    </row>
    <row r="9" customFormat="false" ht="15" hidden="false" customHeight="false" outlineLevel="0" collapsed="false">
      <c r="A9" s="3" t="n">
        <v>7</v>
      </c>
      <c r="B9" s="4" t="s">
        <v>24</v>
      </c>
      <c r="C9" s="4" t="s">
        <v>25</v>
      </c>
      <c r="D9" s="3" t="s">
        <v>26</v>
      </c>
      <c r="E9" s="5" t="n">
        <v>86482</v>
      </c>
      <c r="F9" s="3" t="n">
        <v>6</v>
      </c>
      <c r="G9" s="5" t="n">
        <f aca="false">E9*F9</f>
        <v>518892</v>
      </c>
    </row>
    <row r="10" customFormat="false" ht="15" hidden="false" customHeight="false" outlineLevel="0" collapsed="false">
      <c r="A10" s="6" t="n">
        <v>8</v>
      </c>
      <c r="B10" s="7" t="s">
        <v>27</v>
      </c>
      <c r="C10" s="7" t="s">
        <v>28</v>
      </c>
      <c r="D10" s="6" t="s">
        <v>29</v>
      </c>
      <c r="E10" s="8" t="n">
        <v>92397</v>
      </c>
      <c r="F10" s="6" t="n">
        <v>28</v>
      </c>
      <c r="G10" s="8" t="n">
        <f aca="false">E10*F10</f>
        <v>2587116</v>
      </c>
    </row>
    <row r="11" customFormat="false" ht="15" hidden="false" customHeight="false" outlineLevel="0" collapsed="false">
      <c r="A11" s="3" t="n">
        <v>9</v>
      </c>
      <c r="B11" s="4" t="s">
        <v>30</v>
      </c>
      <c r="C11" s="4" t="s">
        <v>31</v>
      </c>
      <c r="D11" s="3" t="s">
        <v>32</v>
      </c>
      <c r="E11" s="5" t="n">
        <v>19165</v>
      </c>
      <c r="F11" s="3" t="n">
        <v>2</v>
      </c>
      <c r="G11" s="5" t="n">
        <f aca="false">E11*F11</f>
        <v>38330</v>
      </c>
    </row>
    <row r="12" customFormat="false" ht="15" hidden="false" customHeight="false" outlineLevel="0" collapsed="false">
      <c r="A12" s="6" t="n">
        <v>10</v>
      </c>
      <c r="B12" s="7" t="s">
        <v>33</v>
      </c>
      <c r="C12" s="7" t="s">
        <v>31</v>
      </c>
      <c r="D12" s="6" t="s">
        <v>34</v>
      </c>
      <c r="E12" s="8" t="n">
        <v>27280</v>
      </c>
      <c r="F12" s="6" t="n">
        <v>14</v>
      </c>
      <c r="G12" s="8" t="n">
        <f aca="false">E12*F12</f>
        <v>381920</v>
      </c>
    </row>
    <row r="13" customFormat="false" ht="15" hidden="false" customHeight="false" outlineLevel="0" collapsed="false">
      <c r="A13" s="3" t="n">
        <v>11</v>
      </c>
      <c r="B13" s="4" t="s">
        <v>35</v>
      </c>
      <c r="C13" s="4" t="s">
        <v>36</v>
      </c>
      <c r="D13" s="3" t="s">
        <v>10</v>
      </c>
      <c r="E13" s="5" t="n">
        <v>45495</v>
      </c>
      <c r="F13" s="3" t="n">
        <v>33</v>
      </c>
      <c r="G13" s="5" t="n">
        <f aca="false">E13*F13</f>
        <v>1501335</v>
      </c>
    </row>
    <row r="14" customFormat="false" ht="15" hidden="false" customHeight="false" outlineLevel="0" collapsed="false">
      <c r="A14" s="6" t="n">
        <v>12</v>
      </c>
      <c r="B14" s="7" t="s">
        <v>37</v>
      </c>
      <c r="C14" s="7" t="s">
        <v>38</v>
      </c>
      <c r="D14" s="6" t="s">
        <v>12</v>
      </c>
      <c r="E14" s="8" t="n">
        <v>93907</v>
      </c>
      <c r="F14" s="6" t="n">
        <v>2</v>
      </c>
      <c r="G14" s="8" t="n">
        <f aca="false">E14*F14</f>
        <v>187814</v>
      </c>
    </row>
    <row r="15" customFormat="false" ht="15" hidden="false" customHeight="false" outlineLevel="0" collapsed="false">
      <c r="A15" s="3" t="n">
        <v>13</v>
      </c>
      <c r="B15" s="4" t="s">
        <v>39</v>
      </c>
      <c r="C15" s="4" t="s">
        <v>40</v>
      </c>
      <c r="D15" s="3" t="s">
        <v>15</v>
      </c>
      <c r="E15" s="5" t="n">
        <v>88563</v>
      </c>
      <c r="F15" s="3" t="n">
        <v>13</v>
      </c>
      <c r="G15" s="5" t="n">
        <f aca="false">E15*F15</f>
        <v>1151319</v>
      </c>
    </row>
    <row r="16" customFormat="false" ht="15" hidden="false" customHeight="false" outlineLevel="0" collapsed="false">
      <c r="A16" s="6" t="n">
        <v>14</v>
      </c>
      <c r="B16" s="7" t="s">
        <v>41</v>
      </c>
      <c r="C16" s="7" t="s">
        <v>40</v>
      </c>
      <c r="D16" s="6" t="s">
        <v>18</v>
      </c>
      <c r="E16" s="8" t="n">
        <v>108850</v>
      </c>
      <c r="F16" s="6" t="n">
        <v>42</v>
      </c>
      <c r="G16" s="8" t="n">
        <f aca="false">E16*F16</f>
        <v>4571700</v>
      </c>
    </row>
    <row r="17" customFormat="false" ht="15" hidden="false" customHeight="false" outlineLevel="0" collapsed="false">
      <c r="A17" s="3" t="n">
        <v>15</v>
      </c>
      <c r="B17" s="4" t="s">
        <v>42</v>
      </c>
      <c r="C17" s="4" t="s">
        <v>43</v>
      </c>
      <c r="D17" s="3" t="s">
        <v>20</v>
      </c>
      <c r="E17" s="5" t="n">
        <v>106924</v>
      </c>
      <c r="F17" s="3" t="n">
        <v>35</v>
      </c>
      <c r="G17" s="5" t="n">
        <f aca="false">E17*F17</f>
        <v>3742340</v>
      </c>
    </row>
    <row r="18" customFormat="false" ht="15" hidden="false" customHeight="false" outlineLevel="0" collapsed="false">
      <c r="A18" s="6" t="n">
        <v>16</v>
      </c>
      <c r="B18" s="7" t="s">
        <v>44</v>
      </c>
      <c r="C18" s="7" t="s">
        <v>43</v>
      </c>
      <c r="D18" s="6" t="s">
        <v>23</v>
      </c>
      <c r="E18" s="8" t="n">
        <v>69987</v>
      </c>
      <c r="F18" s="6" t="n">
        <v>15</v>
      </c>
      <c r="G18" s="8" t="n">
        <f aca="false">E18*F18</f>
        <v>1049805</v>
      </c>
    </row>
    <row r="19" customFormat="false" ht="15" hidden="false" customHeight="false" outlineLevel="0" collapsed="false">
      <c r="A19" s="3" t="n">
        <v>17</v>
      </c>
      <c r="B19" s="4" t="s">
        <v>45</v>
      </c>
      <c r="C19" s="4" t="s">
        <v>46</v>
      </c>
      <c r="D19" s="3" t="s">
        <v>26</v>
      </c>
      <c r="E19" s="5" t="n">
        <v>73878</v>
      </c>
      <c r="F19" s="3" t="n">
        <v>38</v>
      </c>
      <c r="G19" s="5" t="n">
        <f aca="false">E19*F19</f>
        <v>2807364</v>
      </c>
    </row>
    <row r="20" customFormat="false" ht="15" hidden="false" customHeight="false" outlineLevel="0" collapsed="false">
      <c r="A20" s="6" t="n">
        <v>18</v>
      </c>
      <c r="B20" s="7" t="s">
        <v>47</v>
      </c>
      <c r="C20" s="7" t="s">
        <v>48</v>
      </c>
      <c r="D20" s="6" t="s">
        <v>29</v>
      </c>
      <c r="E20" s="8" t="n">
        <v>51463</v>
      </c>
      <c r="F20" s="6" t="n">
        <v>1</v>
      </c>
      <c r="G20" s="8" t="n">
        <f aca="false">E20*F20</f>
        <v>51463</v>
      </c>
    </row>
    <row r="21" customFormat="false" ht="15" hidden="false" customHeight="false" outlineLevel="0" collapsed="false">
      <c r="A21" s="3" t="n">
        <v>19</v>
      </c>
      <c r="B21" s="4" t="s">
        <v>49</v>
      </c>
      <c r="C21" s="4" t="s">
        <v>50</v>
      </c>
      <c r="D21" s="3" t="s">
        <v>32</v>
      </c>
      <c r="E21" s="5" t="n">
        <v>114458</v>
      </c>
      <c r="F21" s="3" t="n">
        <v>11</v>
      </c>
      <c r="G21" s="5" t="n">
        <f aca="false">E21*F21</f>
        <v>1259038</v>
      </c>
    </row>
    <row r="22" customFormat="false" ht="15" hidden="false" customHeight="false" outlineLevel="0" collapsed="false">
      <c r="A22" s="6" t="n">
        <v>20</v>
      </c>
      <c r="B22" s="7" t="s">
        <v>51</v>
      </c>
      <c r="C22" s="7" t="s">
        <v>52</v>
      </c>
      <c r="D22" s="6" t="s">
        <v>34</v>
      </c>
      <c r="E22" s="8" t="n">
        <v>106506</v>
      </c>
      <c r="F22" s="6" t="n">
        <v>28</v>
      </c>
      <c r="G22" s="8" t="n">
        <f aca="false">E22*F22</f>
        <v>2982168</v>
      </c>
    </row>
    <row r="23" customFormat="false" ht="15" hidden="false" customHeight="false" outlineLevel="0" collapsed="false">
      <c r="A23" s="3" t="n">
        <v>21</v>
      </c>
      <c r="B23" s="4" t="s">
        <v>53</v>
      </c>
      <c r="C23" s="4" t="s">
        <v>52</v>
      </c>
      <c r="D23" s="3" t="s">
        <v>10</v>
      </c>
      <c r="E23" s="5" t="n">
        <v>59597</v>
      </c>
      <c r="F23" s="3" t="n">
        <v>18</v>
      </c>
      <c r="G23" s="5" t="n">
        <f aca="false">E23*F23</f>
        <v>1072746</v>
      </c>
    </row>
    <row r="24" customFormat="false" ht="15" hidden="false" customHeight="false" outlineLevel="0" collapsed="false">
      <c r="A24" s="6" t="n">
        <v>22</v>
      </c>
      <c r="B24" s="7" t="s">
        <v>54</v>
      </c>
      <c r="C24" s="7" t="s">
        <v>55</v>
      </c>
      <c r="D24" s="6" t="s">
        <v>12</v>
      </c>
      <c r="E24" s="8" t="n">
        <v>35379</v>
      </c>
      <c r="F24" s="6" t="n">
        <v>14</v>
      </c>
      <c r="G24" s="8" t="n">
        <f aca="false">E24*F24</f>
        <v>495306</v>
      </c>
    </row>
    <row r="25" customFormat="false" ht="15" hidden="false" customHeight="false" outlineLevel="0" collapsed="false">
      <c r="A25" s="3" t="n">
        <v>23</v>
      </c>
      <c r="B25" s="4" t="s">
        <v>56</v>
      </c>
      <c r="C25" s="4" t="s">
        <v>57</v>
      </c>
      <c r="D25" s="3" t="s">
        <v>15</v>
      </c>
      <c r="E25" s="5" t="n">
        <v>115072</v>
      </c>
      <c r="F25" s="3" t="n">
        <v>22</v>
      </c>
      <c r="G25" s="5" t="n">
        <f aca="false">E25*F25</f>
        <v>2531584</v>
      </c>
    </row>
    <row r="26" customFormat="false" ht="15" hidden="false" customHeight="false" outlineLevel="0" collapsed="false">
      <c r="A26" s="6" t="n">
        <v>24</v>
      </c>
      <c r="B26" s="7" t="s">
        <v>58</v>
      </c>
      <c r="C26" s="7" t="s">
        <v>59</v>
      </c>
      <c r="D26" s="6" t="s">
        <v>18</v>
      </c>
      <c r="E26" s="8" t="n">
        <v>28396</v>
      </c>
      <c r="F26" s="6" t="n">
        <v>6</v>
      </c>
      <c r="G26" s="8" t="n">
        <f aca="false">E26*F26</f>
        <v>170376</v>
      </c>
    </row>
    <row r="27" customFormat="false" ht="15" hidden="false" customHeight="false" outlineLevel="0" collapsed="false">
      <c r="A27" s="3" t="n">
        <v>25</v>
      </c>
      <c r="B27" s="4" t="s">
        <v>60</v>
      </c>
      <c r="C27" s="4" t="s">
        <v>61</v>
      </c>
      <c r="D27" s="3" t="s">
        <v>20</v>
      </c>
      <c r="E27" s="5" t="n">
        <v>64797</v>
      </c>
      <c r="F27" s="3" t="n">
        <v>7</v>
      </c>
      <c r="G27" s="5" t="n">
        <f aca="false">E27*F27</f>
        <v>453579</v>
      </c>
    </row>
    <row r="28" customFormat="false" ht="15" hidden="false" customHeight="false" outlineLevel="0" collapsed="false">
      <c r="A28" s="6" t="n">
        <v>26</v>
      </c>
      <c r="B28" s="7" t="s">
        <v>62</v>
      </c>
      <c r="C28" s="7" t="s">
        <v>61</v>
      </c>
      <c r="D28" s="6" t="s">
        <v>23</v>
      </c>
      <c r="E28" s="8" t="n">
        <v>62052</v>
      </c>
      <c r="F28" s="6" t="n">
        <v>23</v>
      </c>
      <c r="G28" s="8" t="n">
        <f aca="false">E28*F28</f>
        <v>1427196</v>
      </c>
    </row>
    <row r="29" customFormat="false" ht="15" hidden="false" customHeight="false" outlineLevel="0" collapsed="false">
      <c r="A29" s="3" t="n">
        <v>27</v>
      </c>
      <c r="B29" s="4" t="s">
        <v>63</v>
      </c>
      <c r="C29" s="4" t="s">
        <v>64</v>
      </c>
      <c r="D29" s="3" t="s">
        <v>26</v>
      </c>
      <c r="E29" s="5" t="n">
        <v>94131</v>
      </c>
      <c r="F29" s="3" t="n">
        <v>17</v>
      </c>
      <c r="G29" s="5" t="n">
        <f aca="false">E29*F29</f>
        <v>1600227</v>
      </c>
    </row>
    <row r="30" customFormat="false" ht="15" hidden="false" customHeight="false" outlineLevel="0" collapsed="false">
      <c r="A30" s="6" t="n">
        <v>28</v>
      </c>
      <c r="B30" s="7" t="s">
        <v>65</v>
      </c>
      <c r="C30" s="7" t="s">
        <v>66</v>
      </c>
      <c r="D30" s="6" t="s">
        <v>29</v>
      </c>
      <c r="E30" s="8" t="n">
        <v>20695</v>
      </c>
      <c r="F30" s="6" t="n">
        <v>47</v>
      </c>
      <c r="G30" s="8" t="n">
        <f aca="false">E30*F30</f>
        <v>972665</v>
      </c>
    </row>
    <row r="31" customFormat="false" ht="15" hidden="false" customHeight="false" outlineLevel="0" collapsed="false">
      <c r="A31" s="3" t="n">
        <v>29</v>
      </c>
      <c r="B31" s="4" t="s">
        <v>67</v>
      </c>
      <c r="C31" s="4" t="s">
        <v>68</v>
      </c>
      <c r="D31" s="3" t="s">
        <v>32</v>
      </c>
      <c r="E31" s="5" t="n">
        <v>75217</v>
      </c>
      <c r="F31" s="3" t="n">
        <v>35</v>
      </c>
      <c r="G31" s="5" t="n">
        <f aca="false">E31*F31</f>
        <v>2632595</v>
      </c>
    </row>
    <row r="32" customFormat="false" ht="15" hidden="false" customHeight="false" outlineLevel="0" collapsed="false">
      <c r="A32" s="6" t="n">
        <v>30</v>
      </c>
      <c r="B32" s="7" t="s">
        <v>69</v>
      </c>
      <c r="C32" s="7" t="s">
        <v>70</v>
      </c>
      <c r="D32" s="6" t="s">
        <v>34</v>
      </c>
      <c r="E32" s="8" t="n">
        <v>31361</v>
      </c>
      <c r="F32" s="6" t="n">
        <v>25</v>
      </c>
      <c r="G32" s="8" t="n">
        <f aca="false">E32*F32</f>
        <v>784025</v>
      </c>
    </row>
    <row r="33" customFormat="false" ht="15" hidden="false" customHeight="false" outlineLevel="0" collapsed="false">
      <c r="A33" s="3" t="n">
        <v>31</v>
      </c>
      <c r="B33" s="4" t="s">
        <v>71</v>
      </c>
      <c r="C33" s="4" t="s">
        <v>70</v>
      </c>
      <c r="D33" s="3" t="s">
        <v>10</v>
      </c>
      <c r="E33" s="5" t="n">
        <v>25328</v>
      </c>
      <c r="F33" s="3" t="n">
        <v>36</v>
      </c>
      <c r="G33" s="5" t="n">
        <f aca="false">E33*F33</f>
        <v>911808</v>
      </c>
    </row>
    <row r="34" customFormat="false" ht="15" hidden="false" customHeight="false" outlineLevel="0" collapsed="false">
      <c r="A34" s="6" t="n">
        <v>32</v>
      </c>
      <c r="B34" s="7" t="s">
        <v>72</v>
      </c>
      <c r="C34" s="7" t="s">
        <v>73</v>
      </c>
      <c r="D34" s="6" t="s">
        <v>12</v>
      </c>
      <c r="E34" s="8" t="n">
        <v>53427</v>
      </c>
      <c r="F34" s="6" t="n">
        <v>41</v>
      </c>
      <c r="G34" s="8" t="n">
        <f aca="false">E34*F34</f>
        <v>2190507</v>
      </c>
    </row>
    <row r="35" customFormat="false" ht="15" hidden="false" customHeight="false" outlineLevel="0" collapsed="false">
      <c r="A35" s="3" t="n">
        <v>33</v>
      </c>
      <c r="B35" s="4" t="s">
        <v>74</v>
      </c>
      <c r="C35" s="4" t="s">
        <v>75</v>
      </c>
      <c r="D35" s="3" t="s">
        <v>15</v>
      </c>
      <c r="E35" s="5" t="n">
        <v>96070</v>
      </c>
      <c r="F35" s="3" t="n">
        <v>24</v>
      </c>
      <c r="G35" s="5" t="n">
        <f aca="false">E35*F35</f>
        <v>2305680</v>
      </c>
    </row>
    <row r="36" customFormat="false" ht="15" hidden="false" customHeight="false" outlineLevel="0" collapsed="false">
      <c r="A36" s="6" t="n">
        <v>34</v>
      </c>
      <c r="B36" s="7" t="s">
        <v>76</v>
      </c>
      <c r="C36" s="7" t="s">
        <v>38</v>
      </c>
      <c r="D36" s="6" t="s">
        <v>18</v>
      </c>
      <c r="E36" s="8" t="n">
        <v>90674</v>
      </c>
      <c r="F36" s="6" t="n">
        <v>13</v>
      </c>
      <c r="G36" s="8" t="n">
        <f aca="false">E36*F36</f>
        <v>1178762</v>
      </c>
    </row>
    <row r="37" customFormat="false" ht="15" hidden="false" customHeight="false" outlineLevel="0" collapsed="false">
      <c r="A37" s="3" t="n">
        <v>35</v>
      </c>
      <c r="B37" s="4" t="s">
        <v>77</v>
      </c>
      <c r="C37" s="4" t="s">
        <v>38</v>
      </c>
      <c r="D37" s="3" t="s">
        <v>20</v>
      </c>
      <c r="E37" s="5" t="n">
        <v>107349</v>
      </c>
      <c r="F37" s="3" t="n">
        <v>5</v>
      </c>
      <c r="G37" s="5" t="n">
        <f aca="false">E37*F37</f>
        <v>536745</v>
      </c>
    </row>
    <row r="38" customFormat="false" ht="15" hidden="false" customHeight="false" outlineLevel="0" collapsed="false">
      <c r="A38" s="6" t="n">
        <v>36</v>
      </c>
      <c r="B38" s="7" t="s">
        <v>78</v>
      </c>
      <c r="C38" s="7" t="s">
        <v>38</v>
      </c>
      <c r="D38" s="6" t="s">
        <v>23</v>
      </c>
      <c r="E38" s="8" t="n">
        <v>21006</v>
      </c>
      <c r="F38" s="6" t="n">
        <v>43</v>
      </c>
      <c r="G38" s="8" t="n">
        <f aca="false">E38*F38</f>
        <v>903258</v>
      </c>
    </row>
    <row r="39" customFormat="false" ht="15" hidden="false" customHeight="false" outlineLevel="0" collapsed="false">
      <c r="A39" s="3" t="n">
        <v>37</v>
      </c>
      <c r="B39" s="4" t="s">
        <v>79</v>
      </c>
      <c r="C39" s="4" t="s">
        <v>80</v>
      </c>
      <c r="D39" s="3" t="s">
        <v>26</v>
      </c>
      <c r="E39" s="5" t="n">
        <v>44871</v>
      </c>
      <c r="F39" s="3" t="n">
        <v>50</v>
      </c>
      <c r="G39" s="5" t="n">
        <f aca="false">E39*F39</f>
        <v>2243550</v>
      </c>
    </row>
    <row r="40" customFormat="false" ht="15" hidden="false" customHeight="false" outlineLevel="0" collapsed="false">
      <c r="A40" s="6" t="n">
        <v>38</v>
      </c>
      <c r="B40" s="7" t="s">
        <v>81</v>
      </c>
      <c r="C40" s="7" t="s">
        <v>82</v>
      </c>
      <c r="D40" s="6" t="s">
        <v>29</v>
      </c>
      <c r="E40" s="8" t="n">
        <v>52930</v>
      </c>
      <c r="F40" s="6" t="n">
        <v>6</v>
      </c>
      <c r="G40" s="8" t="n">
        <f aca="false">E40*F40</f>
        <v>317580</v>
      </c>
    </row>
    <row r="41" customFormat="false" ht="15" hidden="false" customHeight="false" outlineLevel="0" collapsed="false">
      <c r="A41" s="3" t="n">
        <v>39</v>
      </c>
      <c r="B41" s="4" t="s">
        <v>83</v>
      </c>
      <c r="C41" s="4" t="s">
        <v>84</v>
      </c>
      <c r="D41" s="3" t="s">
        <v>32</v>
      </c>
      <c r="E41" s="5" t="n">
        <v>45512</v>
      </c>
      <c r="F41" s="3" t="n">
        <v>7</v>
      </c>
      <c r="G41" s="5" t="n">
        <f aca="false">E41*F41</f>
        <v>318584</v>
      </c>
    </row>
    <row r="42" customFormat="false" ht="15" hidden="false" customHeight="false" outlineLevel="0" collapsed="false">
      <c r="A42" s="6" t="n">
        <v>40</v>
      </c>
      <c r="B42" s="7" t="s">
        <v>85</v>
      </c>
      <c r="C42" s="7" t="s">
        <v>73</v>
      </c>
      <c r="D42" s="6" t="s">
        <v>34</v>
      </c>
      <c r="E42" s="8" t="n">
        <v>64823</v>
      </c>
      <c r="F42" s="6" t="n">
        <v>18</v>
      </c>
      <c r="G42" s="8" t="n">
        <f aca="false">E42*F42</f>
        <v>1166814</v>
      </c>
    </row>
    <row r="43" customFormat="false" ht="15" hidden="false" customHeight="false" outlineLevel="0" collapsed="false">
      <c r="A43" s="3" t="n">
        <v>41</v>
      </c>
      <c r="B43" s="4" t="s">
        <v>86</v>
      </c>
      <c r="C43" s="4" t="s">
        <v>87</v>
      </c>
      <c r="D43" s="3" t="s">
        <v>10</v>
      </c>
      <c r="E43" s="5" t="n">
        <v>74429</v>
      </c>
      <c r="F43" s="3" t="n">
        <v>41</v>
      </c>
      <c r="G43" s="5" t="n">
        <f aca="false">E43*F43</f>
        <v>3051589</v>
      </c>
    </row>
    <row r="44" customFormat="false" ht="15" hidden="false" customHeight="false" outlineLevel="0" collapsed="false">
      <c r="A44" s="6" t="n">
        <v>42</v>
      </c>
      <c r="B44" s="7" t="s">
        <v>88</v>
      </c>
      <c r="C44" s="7" t="s">
        <v>89</v>
      </c>
      <c r="D44" s="6" t="s">
        <v>12</v>
      </c>
      <c r="E44" s="8" t="n">
        <v>62819</v>
      </c>
      <c r="F44" s="6" t="n">
        <v>11</v>
      </c>
      <c r="G44" s="8" t="n">
        <f aca="false">E44*F44</f>
        <v>691009</v>
      </c>
    </row>
    <row r="45" customFormat="false" ht="15" hidden="false" customHeight="false" outlineLevel="0" collapsed="false">
      <c r="A45" s="3" t="n">
        <v>43</v>
      </c>
      <c r="B45" s="4" t="s">
        <v>90</v>
      </c>
      <c r="C45" s="4" t="s">
        <v>91</v>
      </c>
      <c r="D45" s="3" t="s">
        <v>15</v>
      </c>
      <c r="E45" s="5" t="n">
        <v>63520</v>
      </c>
      <c r="F45" s="3" t="n">
        <v>23</v>
      </c>
      <c r="G45" s="5" t="n">
        <f aca="false">E45*F45</f>
        <v>1460960</v>
      </c>
    </row>
    <row r="46" customFormat="false" ht="15" hidden="false" customHeight="false" outlineLevel="0" collapsed="false">
      <c r="A46" s="6" t="n">
        <v>44</v>
      </c>
      <c r="B46" s="7" t="s">
        <v>92</v>
      </c>
      <c r="C46" s="7" t="s">
        <v>91</v>
      </c>
      <c r="D46" s="6" t="s">
        <v>18</v>
      </c>
      <c r="E46" s="8" t="n">
        <v>42460</v>
      </c>
      <c r="F46" s="6" t="n">
        <v>43</v>
      </c>
      <c r="G46" s="8" t="n">
        <f aca="false">E46*F46</f>
        <v>1825780</v>
      </c>
    </row>
    <row r="47" customFormat="false" ht="15" hidden="false" customHeight="false" outlineLevel="0" collapsed="false">
      <c r="A47" s="3" t="n">
        <v>45</v>
      </c>
      <c r="B47" s="4" t="s">
        <v>93</v>
      </c>
      <c r="C47" s="4" t="s">
        <v>94</v>
      </c>
      <c r="D47" s="3" t="s">
        <v>20</v>
      </c>
      <c r="E47" s="5" t="n">
        <v>49993</v>
      </c>
      <c r="F47" s="3" t="n">
        <v>45</v>
      </c>
      <c r="G47" s="5" t="n">
        <f aca="false">E47*F47</f>
        <v>2249685</v>
      </c>
    </row>
    <row r="48" customFormat="false" ht="15" hidden="false" customHeight="false" outlineLevel="0" collapsed="false">
      <c r="A48" s="6" t="n">
        <v>46</v>
      </c>
      <c r="B48" s="7" t="s">
        <v>95</v>
      </c>
      <c r="C48" s="7" t="s">
        <v>96</v>
      </c>
      <c r="D48" s="6" t="s">
        <v>23</v>
      </c>
      <c r="E48" s="8" t="n">
        <v>104593</v>
      </c>
      <c r="F48" s="6" t="n">
        <v>42</v>
      </c>
      <c r="G48" s="8" t="n">
        <f aca="false">E48*F48</f>
        <v>4392906</v>
      </c>
    </row>
    <row r="49" customFormat="false" ht="15" hidden="false" customHeight="false" outlineLevel="0" collapsed="false">
      <c r="A49" s="3" t="n">
        <v>47</v>
      </c>
      <c r="B49" s="4" t="s">
        <v>97</v>
      </c>
      <c r="C49" s="4" t="s">
        <v>14</v>
      </c>
      <c r="D49" s="3" t="s">
        <v>26</v>
      </c>
      <c r="E49" s="5" t="n">
        <v>24358</v>
      </c>
      <c r="F49" s="3" t="n">
        <v>39</v>
      </c>
      <c r="G49" s="5" t="n">
        <f aca="false">E49*F49</f>
        <v>949962</v>
      </c>
    </row>
    <row r="50" customFormat="false" ht="15" hidden="false" customHeight="false" outlineLevel="0" collapsed="false">
      <c r="A50" s="6" t="n">
        <v>48</v>
      </c>
      <c r="B50" s="7" t="s">
        <v>98</v>
      </c>
      <c r="C50" s="7" t="s">
        <v>99</v>
      </c>
      <c r="D50" s="6" t="s">
        <v>29</v>
      </c>
      <c r="E50" s="8" t="n">
        <v>98227</v>
      </c>
      <c r="F50" s="6" t="n">
        <v>11</v>
      </c>
      <c r="G50" s="8" t="n">
        <f aca="false">E50*F50</f>
        <v>1080497</v>
      </c>
    </row>
    <row r="51" customFormat="false" ht="15" hidden="false" customHeight="false" outlineLevel="0" collapsed="false">
      <c r="A51" s="3" t="n">
        <v>49</v>
      </c>
      <c r="B51" s="4" t="s">
        <v>100</v>
      </c>
      <c r="C51" s="4" t="s">
        <v>101</v>
      </c>
      <c r="D51" s="3" t="s">
        <v>32</v>
      </c>
      <c r="E51" s="5" t="n">
        <v>85010</v>
      </c>
      <c r="F51" s="3" t="n">
        <v>47</v>
      </c>
      <c r="G51" s="5" t="n">
        <f aca="false">E51*F51</f>
        <v>3995470</v>
      </c>
    </row>
    <row r="52" customFormat="false" ht="15" hidden="false" customHeight="false" outlineLevel="0" collapsed="false">
      <c r="A52" s="6" t="n">
        <v>50</v>
      </c>
      <c r="B52" s="7" t="s">
        <v>102</v>
      </c>
      <c r="C52" s="7" t="s">
        <v>103</v>
      </c>
      <c r="D52" s="6" t="s">
        <v>34</v>
      </c>
      <c r="E52" s="8" t="n">
        <v>47087</v>
      </c>
      <c r="F52" s="6" t="n">
        <v>11</v>
      </c>
      <c r="G52" s="8" t="n">
        <f aca="false">E52*F52</f>
        <v>517957</v>
      </c>
    </row>
    <row r="53" customFormat="false" ht="15" hidden="false" customHeight="false" outlineLevel="0" collapsed="false">
      <c r="A53" s="9" t="s">
        <v>104</v>
      </c>
      <c r="B53" s="9"/>
      <c r="C53" s="9"/>
      <c r="D53" s="9"/>
      <c r="E53" s="10"/>
      <c r="F53" s="11" t="n">
        <f aca="false">SUM(F3:F52)</f>
        <v>1174</v>
      </c>
      <c r="G53" s="12" t="n">
        <f aca="false">SUM(G3:G52)</f>
        <v>75901020</v>
      </c>
    </row>
  </sheetData>
  <autoFilter ref="A2:G52"/>
  <mergeCells count="2">
    <mergeCell ref="A1:G1"/>
    <mergeCell ref="A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8"/>
    <col collapsed="false" customWidth="true" hidden="false" outlineLevel="0" max="7" min="7" style="0" width="18"/>
  </cols>
  <sheetData>
    <row r="1" customFormat="false" ht="33.75" hidden="false" customHeight="true" outlineLevel="0" collapsed="false">
      <c r="A1" s="13" t="s">
        <v>105</v>
      </c>
      <c r="B1" s="13"/>
      <c r="C1" s="13"/>
      <c r="D1" s="13"/>
      <c r="E1" s="13"/>
      <c r="F1" s="13"/>
    </row>
    <row r="3" customFormat="false" ht="16.15" hidden="false" customHeight="false" outlineLevel="0" collapsed="false">
      <c r="A3" s="14" t="s">
        <v>106</v>
      </c>
      <c r="B3" s="15" t="n">
        <v>1</v>
      </c>
    </row>
    <row r="5" customFormat="false" ht="15" hidden="false" customHeight="false" outlineLevel="0" collapsed="false">
      <c r="A5" s="16" t="s">
        <v>1</v>
      </c>
      <c r="B5" s="16" t="s">
        <v>2</v>
      </c>
      <c r="C5" s="16" t="s">
        <v>3</v>
      </c>
      <c r="D5" s="16" t="s">
        <v>4</v>
      </c>
      <c r="E5" s="16" t="s">
        <v>5</v>
      </c>
      <c r="F5" s="16" t="s">
        <v>6</v>
      </c>
      <c r="G5" s="16" t="s">
        <v>7</v>
      </c>
    </row>
    <row r="6" customFormat="false" ht="15" hidden="false" customHeight="false" outlineLevel="0" collapsed="false">
      <c r="A6" s="17" t="n">
        <f aca="false">IFERROR(VLOOKUP(B3,'Kitoblar Katalogi'!A:G,1,FALSE()),"Topilmadi")</f>
        <v>1</v>
      </c>
      <c r="B6" s="17" t="str">
        <f aca="false">IFERROR(VLOOKUP(B3,'Kitoblar Katalogi'!A:G,2,FALSE()),"")</f>
        <v>O'tkan kunlar</v>
      </c>
      <c r="C6" s="17" t="str">
        <f aca="false">IFERROR(VLOOKUP(B3,'Kitoblar Katalogi'!A:G,3,FALSE()),"")</f>
        <v>Abdulla Qodiriy</v>
      </c>
      <c r="D6" s="17" t="str">
        <f aca="false">IFERROR(VLOOKUP(B3,'Kitoblar Katalogi'!A:G,4,FALSE()),"")</f>
        <v>Fantastika</v>
      </c>
      <c r="E6" s="18" t="n">
        <f aca="false">IFERROR(VLOOKUP(B3,'Kitoblar Katalogi'!A:G,5,FALSE()),"")</f>
        <v>98810</v>
      </c>
      <c r="F6" s="17" t="n">
        <f aca="false">IFERROR(VLOOKUP(B3,'Kitoblar Katalogi'!A:G,6,FALSE()),"")</f>
        <v>8</v>
      </c>
      <c r="G6" s="18" t="n">
        <f aca="false">IFERROR(VLOOKUP(B3,'Kitoblar Katalogi'!A:G,7,FALSE()),"")</f>
        <v>790480</v>
      </c>
    </row>
    <row r="8" customFormat="false" ht="15" hidden="false" customHeight="false" outlineLevel="0" collapsed="false">
      <c r="A8" s="19" t="s">
        <v>107</v>
      </c>
      <c r="B8" s="19"/>
      <c r="C8" s="19"/>
      <c r="D8" s="19"/>
      <c r="E8" s="19"/>
      <c r="F8" s="19"/>
      <c r="G8" s="19"/>
    </row>
  </sheetData>
  <mergeCells count="2">
    <mergeCell ref="A1:F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8"/>
    <col collapsed="false" customWidth="true" hidden="false" outlineLevel="0" max="7" min="7" style="0" width="18"/>
  </cols>
  <sheetData>
    <row r="1" customFormat="false" ht="33.75" hidden="false" customHeight="true" outlineLevel="0" collapsed="false">
      <c r="A1" s="13" t="s">
        <v>108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</row>
    <row r="3" customFormat="false" ht="15" hidden="false" customHeight="false" outlineLevel="0" collapsed="false">
      <c r="A3" s="3" t="n">
        <f aca="false">IFERROR(INDEX('Kitoblar Katalogi'!A$3:A$52,MATCH(LARGE('Kitoblar Katalogi'!E$3:E$52,1),'Kitoblar Katalogi'!E$3:E$52,0)),"")</f>
        <v>23</v>
      </c>
      <c r="B3" s="4" t="str">
        <f aca="false">IFERROR(INDEX('Kitoblar Katalogi'!B$3:B$52,MATCH(LARGE('Kitoblar Katalogi'!E$3:E$52,1),'Kitoblar Katalogi'!E$3:E$52,0)),"")</f>
        <v>Buyuk Getsbi</v>
      </c>
      <c r="C3" s="4" t="str">
        <f aca="false">IFERROR(INDEX('Kitoblar Katalogi'!C$3:C$52,MATCH(LARGE('Kitoblar Katalogi'!E$3:E$52,1),'Kitoblar Katalogi'!E$3:E$52,0)),"")</f>
        <v>Fitzgerald</v>
      </c>
      <c r="D3" s="3" t="str">
        <f aca="false">IFERROR(INDEX('Kitoblar Katalogi'!D$3:D$52,MATCH(LARGE('Kitoblar Katalogi'!E$3:E$52,1),'Kitoblar Katalogi'!E$3:E$52,0)),"")</f>
        <v>Ilm-fan</v>
      </c>
      <c r="E3" s="5" t="n">
        <f aca="false">IFERROR(LARGE('Kitoblar Katalogi'!E$3:E$52,1),"")</f>
        <v>115072</v>
      </c>
      <c r="F3" s="4" t="n">
        <f aca="false">IFERROR(INDEX('Kitoblar Katalogi'!F$3:F$52,MATCH(LARGE('Kitoblar Katalogi'!E$3:E$52,1),'Kitoblar Katalogi'!E$3:E$52,0)),"")</f>
        <v>22</v>
      </c>
      <c r="G3" s="5" t="n">
        <f aca="false">IFERROR(INDEX('Kitoblar Katalogi'!G$3:G$52,MATCH(LARGE('Kitoblar Katalogi'!E$3:E$52,1),'Kitoblar Katalogi'!E$3:E$52,0)),"")</f>
        <v>2531584</v>
      </c>
    </row>
    <row r="4" customFormat="false" ht="15" hidden="false" customHeight="false" outlineLevel="0" collapsed="false">
      <c r="A4" s="6" t="n">
        <f aca="false">IFERROR(INDEX('Kitoblar Katalogi'!A$3:A$52,MATCH(LARGE('Kitoblar Katalogi'!E$3:E$52,2),'Kitoblar Katalogi'!E$3:E$52,0)),"")</f>
        <v>19</v>
      </c>
      <c r="B4" s="7" t="str">
        <f aca="false">IFERROR(INDEX('Kitoblar Katalogi'!B$3:B$52,MATCH(LARGE('Kitoblar Katalogi'!E$3:E$52,2),'Kitoblar Katalogi'!E$3:E$52,0)),"")</f>
        <v>Alximik</v>
      </c>
      <c r="C4" s="7" t="str">
        <f aca="false">IFERROR(INDEX('Kitoblar Katalogi'!C$3:C$52,MATCH(LARGE('Kitoblar Katalogi'!E$3:E$52,2),'Kitoblar Katalogi'!E$3:E$52,0)),"")</f>
        <v>Koelo</v>
      </c>
      <c r="D4" s="6" t="str">
        <f aca="false">IFERROR(INDEX('Kitoblar Katalogi'!D$3:D$52,MATCH(LARGE('Kitoblar Katalogi'!E$3:E$52,2),'Kitoblar Katalogi'!E$3:E$52,0)),"")</f>
        <v>Bolalar</v>
      </c>
      <c r="E4" s="8" t="n">
        <f aca="false">IFERROR(LARGE('Kitoblar Katalogi'!E$3:E$52,2),"")</f>
        <v>114458</v>
      </c>
      <c r="F4" s="7" t="n">
        <f aca="false">IFERROR(INDEX('Kitoblar Katalogi'!F$3:F$52,MATCH(LARGE('Kitoblar Katalogi'!E$3:E$52,2),'Kitoblar Katalogi'!E$3:E$52,0)),"")</f>
        <v>11</v>
      </c>
      <c r="G4" s="8" t="n">
        <f aca="false">IFERROR(INDEX('Kitoblar Katalogi'!G$3:G$52,MATCH(LARGE('Kitoblar Katalogi'!E$3:E$52,2),'Kitoblar Katalogi'!E$3:E$52,0)),"")</f>
        <v>1259038</v>
      </c>
    </row>
    <row r="5" customFormat="false" ht="15" hidden="false" customHeight="false" outlineLevel="0" collapsed="false">
      <c r="A5" s="3" t="n">
        <f aca="false">IFERROR(INDEX('Kitoblar Katalogi'!A$3:A$52,MATCH(LARGE('Kitoblar Katalogi'!E$3:E$52,3),'Kitoblar Katalogi'!E$3:E$52,0)),"")</f>
        <v>5</v>
      </c>
      <c r="B5" s="4" t="str">
        <f aca="false">IFERROR(INDEX('Kitoblar Katalogi'!B$3:B$52,MATCH(LARGE('Kitoblar Katalogi'!E$3:E$52,3),'Kitoblar Katalogi'!E$3:E$52,0)),"")</f>
        <v>Navoiy</v>
      </c>
      <c r="C5" s="4" t="str">
        <f aca="false">IFERROR(INDEX('Kitoblar Katalogi'!C$3:C$52,MATCH(LARGE('Kitoblar Katalogi'!E$3:E$52,3),'Kitoblar Katalogi'!E$3:E$52,0)),"")</f>
        <v>Oybek</v>
      </c>
      <c r="D5" s="3" t="str">
        <f aca="false">IFERROR(INDEX('Kitoblar Katalogi'!D$3:D$52,MATCH(LARGE('Kitoblar Katalogi'!E$3:E$52,3),'Kitoblar Katalogi'!E$3:E$52,0)),"")</f>
        <v>Falsafa</v>
      </c>
      <c r="E5" s="5" t="n">
        <f aca="false">IFERROR(LARGE('Kitoblar Katalogi'!E$3:E$52,3),"")</f>
        <v>111530</v>
      </c>
      <c r="F5" s="4" t="n">
        <f aca="false">IFERROR(INDEX('Kitoblar Katalogi'!F$3:F$52,MATCH(LARGE('Kitoblar Katalogi'!E$3:E$52,3),'Kitoblar Katalogi'!E$3:E$52,0)),"")</f>
        <v>7</v>
      </c>
      <c r="G5" s="5" t="n">
        <f aca="false">IFERROR(INDEX('Kitoblar Katalogi'!G$3:G$52,MATCH(LARGE('Kitoblar Katalogi'!E$3:E$52,3),'Kitoblar Katalogi'!E$3:E$52,0)),"")</f>
        <v>780710</v>
      </c>
    </row>
    <row r="6" customFormat="false" ht="15" hidden="false" customHeight="false" outlineLevel="0" collapsed="false">
      <c r="A6" s="6" t="n">
        <f aca="false">IFERROR(INDEX('Kitoblar Katalogi'!A$3:A$52,MATCH(LARGE('Kitoblar Katalogi'!E$3:E$52,4),'Kitoblar Katalogi'!E$3:E$52,0)),"")</f>
        <v>14</v>
      </c>
      <c r="B6" s="7" t="str">
        <f aca="false">IFERROR(INDEX('Kitoblar Katalogi'!B$3:B$52,MATCH(LARGE('Kitoblar Katalogi'!E$3:E$52,4),'Kitoblar Katalogi'!E$3:E$52,0)),"")</f>
        <v>Anna Karenina</v>
      </c>
      <c r="C6" s="7" t="str">
        <f aca="false">IFERROR(INDEX('Kitoblar Katalogi'!C$3:C$52,MATCH(LARGE('Kitoblar Katalogi'!E$3:E$52,4),'Kitoblar Katalogi'!E$3:E$52,0)),"")</f>
        <v>Tolstoy</v>
      </c>
      <c r="D6" s="6" t="str">
        <f aca="false">IFERROR(INDEX('Kitoblar Katalogi'!D$3:D$52,MATCH(LARGE('Kitoblar Katalogi'!E$3:E$52,4),'Kitoblar Katalogi'!E$3:E$52,0)),"")</f>
        <v>She'riyat</v>
      </c>
      <c r="E6" s="8" t="n">
        <f aca="false">IFERROR(LARGE('Kitoblar Katalogi'!E$3:E$52,4),"")</f>
        <v>108850</v>
      </c>
      <c r="F6" s="7" t="n">
        <f aca="false">IFERROR(INDEX('Kitoblar Katalogi'!F$3:F$52,MATCH(LARGE('Kitoblar Katalogi'!E$3:E$52,4),'Kitoblar Katalogi'!E$3:E$52,0)),"")</f>
        <v>42</v>
      </c>
      <c r="G6" s="8" t="n">
        <f aca="false">IFERROR(INDEX('Kitoblar Katalogi'!G$3:G$52,MATCH(LARGE('Kitoblar Katalogi'!E$3:E$52,4),'Kitoblar Katalogi'!E$3:E$52,0)),"")</f>
        <v>4571700</v>
      </c>
    </row>
    <row r="7" customFormat="false" ht="15" hidden="false" customHeight="false" outlineLevel="0" collapsed="false">
      <c r="A7" s="3" t="n">
        <f aca="false">IFERROR(INDEX('Kitoblar Katalogi'!A$3:A$52,MATCH(LARGE('Kitoblar Katalogi'!E$3:E$52,5),'Kitoblar Katalogi'!E$3:E$52,0)),"")</f>
        <v>35</v>
      </c>
      <c r="B7" s="4" t="str">
        <f aca="false">IFERROR(INDEX('Kitoblar Katalogi'!B$3:B$52,MATCH(LARGE('Kitoblar Katalogi'!E$3:E$52,5),'Kitoblar Katalogi'!E$3:E$52,0)),"")</f>
        <v>Makbet</v>
      </c>
      <c r="C7" s="4" t="str">
        <f aca="false">IFERROR(INDEX('Kitoblar Katalogi'!C$3:C$52,MATCH(LARGE('Kitoblar Katalogi'!E$3:E$52,5),'Kitoblar Katalogi'!E$3:E$52,0)),"")</f>
        <v>Shekspir</v>
      </c>
      <c r="D7" s="3" t="str">
        <f aca="false">IFERROR(INDEX('Kitoblar Katalogi'!D$3:D$52,MATCH(LARGE('Kitoblar Katalogi'!E$3:E$52,5),'Kitoblar Katalogi'!E$3:E$52,0)),"")</f>
        <v>Falsafa</v>
      </c>
      <c r="E7" s="5" t="n">
        <f aca="false">IFERROR(LARGE('Kitoblar Katalogi'!E$3:E$52,5),"")</f>
        <v>107349</v>
      </c>
      <c r="F7" s="4" t="n">
        <f aca="false">IFERROR(INDEX('Kitoblar Katalogi'!F$3:F$52,MATCH(LARGE('Kitoblar Katalogi'!E$3:E$52,5),'Kitoblar Katalogi'!E$3:E$52,0)),"")</f>
        <v>5</v>
      </c>
      <c r="G7" s="5" t="n">
        <f aca="false">IFERROR(INDEX('Kitoblar Katalogi'!G$3:G$52,MATCH(LARGE('Kitoblar Katalogi'!E$3:E$52,5),'Kitoblar Katalogi'!E$3:E$52,0)),"")</f>
        <v>536745</v>
      </c>
    </row>
    <row r="8" customFormat="false" ht="15" hidden="false" customHeight="false" outlineLevel="0" collapsed="false">
      <c r="A8" s="6" t="n">
        <f aca="false">IFERROR(INDEX('Kitoblar Katalogi'!A$3:A$52,MATCH(LARGE('Kitoblar Katalogi'!E$3:E$52,6),'Kitoblar Katalogi'!E$3:E$52,0)),"")</f>
        <v>15</v>
      </c>
      <c r="B8" s="7" t="str">
        <f aca="false">IFERROR(INDEX('Kitoblar Katalogi'!B$3:B$52,MATCH(LARGE('Kitoblar Katalogi'!E$3:E$52,6),'Kitoblar Katalogi'!E$3:E$52,0)),"")</f>
        <v>Jinoyat va jazo</v>
      </c>
      <c r="C8" s="7" t="str">
        <f aca="false">IFERROR(INDEX('Kitoblar Katalogi'!C$3:C$52,MATCH(LARGE('Kitoblar Katalogi'!E$3:E$52,6),'Kitoblar Katalogi'!E$3:E$52,0)),"")</f>
        <v>Dostoevskiy</v>
      </c>
      <c r="D8" s="6" t="str">
        <f aca="false">IFERROR(INDEX('Kitoblar Katalogi'!D$3:D$52,MATCH(LARGE('Kitoblar Katalogi'!E$3:E$52,6),'Kitoblar Katalogi'!E$3:E$52,0)),"")</f>
        <v>Falsafa</v>
      </c>
      <c r="E8" s="8" t="n">
        <f aca="false">IFERROR(LARGE('Kitoblar Katalogi'!E$3:E$52,6),"")</f>
        <v>106924</v>
      </c>
      <c r="F8" s="7" t="n">
        <f aca="false">IFERROR(INDEX('Kitoblar Katalogi'!F$3:F$52,MATCH(LARGE('Kitoblar Katalogi'!E$3:E$52,6),'Kitoblar Katalogi'!E$3:E$52,0)),"")</f>
        <v>35</v>
      </c>
      <c r="G8" s="8" t="n">
        <f aca="false">IFERROR(INDEX('Kitoblar Katalogi'!G$3:G$52,MATCH(LARGE('Kitoblar Katalogi'!E$3:E$52,6),'Kitoblar Katalogi'!E$3:E$52,0)),"")</f>
        <v>3742340</v>
      </c>
    </row>
    <row r="9" customFormat="false" ht="15" hidden="false" customHeight="false" outlineLevel="0" collapsed="false">
      <c r="A9" s="3" t="n">
        <f aca="false">IFERROR(INDEX('Kitoblar Katalogi'!A$3:A$52,MATCH(LARGE('Kitoblar Katalogi'!E$3:E$52,7),'Kitoblar Katalogi'!E$3:E$52,0)),"")</f>
        <v>20</v>
      </c>
      <c r="B9" s="4" t="str">
        <f aca="false">IFERROR(INDEX('Kitoblar Katalogi'!B$3:B$52,MATCH(LARGE('Kitoblar Katalogi'!E$3:E$52,7),'Kitoblar Katalogi'!E$3:E$52,0)),"")</f>
        <v>Pinhon hayot</v>
      </c>
      <c r="C9" s="4" t="str">
        <f aca="false">IFERROR(INDEX('Kitoblar Katalogi'!C$3:C$52,MATCH(LARGE('Kitoblar Katalogi'!E$3:E$52,7),'Kitoblar Katalogi'!E$3:E$52,0)),"")</f>
        <v>Orhan Pamuk</v>
      </c>
      <c r="D9" s="3" t="str">
        <f aca="false">IFERROR(INDEX('Kitoblar Katalogi'!D$3:D$52,MATCH(LARGE('Kitoblar Katalogi'!E$3:E$52,7),'Kitoblar Katalogi'!E$3:E$52,0)),"")</f>
        <v>Roman</v>
      </c>
      <c r="E9" s="5" t="n">
        <f aca="false">IFERROR(LARGE('Kitoblar Katalogi'!E$3:E$52,7),"")</f>
        <v>106506</v>
      </c>
      <c r="F9" s="4" t="n">
        <f aca="false">IFERROR(INDEX('Kitoblar Katalogi'!F$3:F$52,MATCH(LARGE('Kitoblar Katalogi'!E$3:E$52,7),'Kitoblar Katalogi'!E$3:E$52,0)),"")</f>
        <v>28</v>
      </c>
      <c r="G9" s="5" t="n">
        <f aca="false">IFERROR(INDEX('Kitoblar Katalogi'!G$3:G$52,MATCH(LARGE('Kitoblar Katalogi'!E$3:E$52,7),'Kitoblar Katalogi'!E$3:E$52,0)),"")</f>
        <v>2982168</v>
      </c>
    </row>
    <row r="10" customFormat="false" ht="15" hidden="false" customHeight="false" outlineLevel="0" collapsed="false">
      <c r="A10" s="6" t="n">
        <f aca="false">IFERROR(INDEX('Kitoblar Katalogi'!A$3:A$52,MATCH(LARGE('Kitoblar Katalogi'!E$3:E$52,8),'Kitoblar Katalogi'!E$3:E$52,0)),"")</f>
        <v>46</v>
      </c>
      <c r="B10" s="7" t="str">
        <f aca="false">IFERROR(INDEX('Kitoblar Katalogi'!B$3:B$52,MATCH(LARGE('Kitoblar Katalogi'!E$3:E$52,8),'Kitoblar Katalogi'!E$3:E$52,0)),"")</f>
        <v>Alisa mo'jizalar mamlakatida</v>
      </c>
      <c r="C10" s="7" t="str">
        <f aca="false">IFERROR(INDEX('Kitoblar Katalogi'!C$3:C$52,MATCH(LARGE('Kitoblar Katalogi'!E$3:E$52,8),'Kitoblar Katalogi'!E$3:E$52,0)),"")</f>
        <v>Kerroll</v>
      </c>
      <c r="D10" s="6" t="str">
        <f aca="false">IFERROR(INDEX('Kitoblar Katalogi'!D$3:D$52,MATCH(LARGE('Kitoblar Katalogi'!E$3:E$52,8),'Kitoblar Katalogi'!E$3:E$52,0)),"")</f>
        <v>Biografiya</v>
      </c>
      <c r="E10" s="8" t="n">
        <f aca="false">IFERROR(LARGE('Kitoblar Katalogi'!E$3:E$52,8),"")</f>
        <v>104593</v>
      </c>
      <c r="F10" s="7" t="n">
        <f aca="false">IFERROR(INDEX('Kitoblar Katalogi'!F$3:F$52,MATCH(LARGE('Kitoblar Katalogi'!E$3:E$52,8),'Kitoblar Katalogi'!E$3:E$52,0)),"")</f>
        <v>42</v>
      </c>
      <c r="G10" s="8" t="n">
        <f aca="false">IFERROR(INDEX('Kitoblar Katalogi'!G$3:G$52,MATCH(LARGE('Kitoblar Katalogi'!E$3:E$52,8),'Kitoblar Katalogi'!E$3:E$52,0)),"")</f>
        <v>4392906</v>
      </c>
    </row>
    <row r="11" customFormat="false" ht="15" hidden="false" customHeight="false" outlineLevel="0" collapsed="false">
      <c r="A11" s="3" t="n">
        <f aca="false">IFERROR(INDEX('Kitoblar Katalogi'!A$3:A$52,MATCH(LARGE('Kitoblar Katalogi'!E$3:E$52,9),'Kitoblar Katalogi'!E$3:E$52,0)),"")</f>
        <v>6</v>
      </c>
      <c r="B11" s="4" t="str">
        <f aca="false">IFERROR(INDEX('Kitoblar Katalogi'!B$3:B$52,MATCH(LARGE('Kitoblar Katalogi'!E$3:E$52,9),'Kitoblar Katalogi'!E$3:E$52,0)),"")</f>
        <v>Ulug'bek xazinasi</v>
      </c>
      <c r="C11" s="4" t="str">
        <f aca="false">IFERROR(INDEX('Kitoblar Katalogi'!C$3:C$52,MATCH(LARGE('Kitoblar Katalogi'!E$3:E$52,9),'Kitoblar Katalogi'!E$3:E$52,0)),"")</f>
        <v>Mirmuhsin</v>
      </c>
      <c r="D11" s="3" t="str">
        <f aca="false">IFERROR(INDEX('Kitoblar Katalogi'!D$3:D$52,MATCH(LARGE('Kitoblar Katalogi'!E$3:E$52,9),'Kitoblar Katalogi'!E$3:E$52,0)),"")</f>
        <v>Biografiya</v>
      </c>
      <c r="E11" s="5" t="n">
        <f aca="false">IFERROR(LARGE('Kitoblar Katalogi'!E$3:E$52,9),"")</f>
        <v>103696</v>
      </c>
      <c r="F11" s="4" t="n">
        <f aca="false">IFERROR(INDEX('Kitoblar Katalogi'!F$3:F$52,MATCH(LARGE('Kitoblar Katalogi'!E$3:E$52,9),'Kitoblar Katalogi'!E$3:E$52,0)),"")</f>
        <v>48</v>
      </c>
      <c r="G11" s="5" t="n">
        <f aca="false">IFERROR(INDEX('Kitoblar Katalogi'!G$3:G$52,MATCH(LARGE('Kitoblar Katalogi'!E$3:E$52,9),'Kitoblar Katalogi'!E$3:E$52,0)),"")</f>
        <v>4977408</v>
      </c>
    </row>
    <row r="12" customFormat="false" ht="15" hidden="false" customHeight="false" outlineLevel="0" collapsed="false">
      <c r="A12" s="6" t="n">
        <f aca="false">IFERROR(INDEX('Kitoblar Katalogi'!A$3:A$52,MATCH(LARGE('Kitoblar Katalogi'!E$3:E$52,10),'Kitoblar Katalogi'!E$3:E$52,0)),"")</f>
        <v>1</v>
      </c>
      <c r="B12" s="7" t="str">
        <f aca="false">IFERROR(INDEX('Kitoblar Katalogi'!B$3:B$52,MATCH(LARGE('Kitoblar Katalogi'!E$3:E$52,10),'Kitoblar Katalogi'!E$3:E$52,0)),"")</f>
        <v>O'tkan kunlar</v>
      </c>
      <c r="C12" s="7" t="str">
        <f aca="false">IFERROR(INDEX('Kitoblar Katalogi'!C$3:C$52,MATCH(LARGE('Kitoblar Katalogi'!E$3:E$52,10),'Kitoblar Katalogi'!E$3:E$52,0)),"")</f>
        <v>Abdulla Qodiriy</v>
      </c>
      <c r="D12" s="6" t="str">
        <f aca="false">IFERROR(INDEX('Kitoblar Katalogi'!D$3:D$52,MATCH(LARGE('Kitoblar Katalogi'!E$3:E$52,10),'Kitoblar Katalogi'!E$3:E$52,0)),"")</f>
        <v>Fantastika</v>
      </c>
      <c r="E12" s="8" t="n">
        <f aca="false">IFERROR(LARGE('Kitoblar Katalogi'!E$3:E$52,10),"")</f>
        <v>98810</v>
      </c>
      <c r="F12" s="7" t="n">
        <f aca="false">IFERROR(INDEX('Kitoblar Katalogi'!F$3:F$52,MATCH(LARGE('Kitoblar Katalogi'!E$3:E$52,10),'Kitoblar Katalogi'!E$3:E$52,0)),"")</f>
        <v>8</v>
      </c>
      <c r="G12" s="8" t="n">
        <f aca="false">IFERROR(INDEX('Kitoblar Katalogi'!G$3:G$52,MATCH(LARGE('Kitoblar Katalogi'!E$3:E$52,10),'Kitoblar Katalogi'!E$3:E$52,0)),"")</f>
        <v>790480</v>
      </c>
    </row>
    <row r="13" customFormat="false" ht="15" hidden="false" customHeight="false" outlineLevel="0" collapsed="false">
      <c r="A13" s="3" t="n">
        <f aca="false">IFERROR(INDEX('Kitoblar Katalogi'!A$3:A$52,MATCH(LARGE('Kitoblar Katalogi'!E$3:E$52,11),'Kitoblar Katalogi'!E$3:E$52,0)),"")</f>
        <v>48</v>
      </c>
      <c r="B13" s="4" t="str">
        <f aca="false">IFERROR(INDEX('Kitoblar Katalogi'!B$3:B$52,MATCH(LARGE('Kitoblar Katalogi'!E$3:E$52,11),'Kitoblar Katalogi'!E$3:E$52,0)),"")</f>
        <v>Sincaloy</v>
      </c>
      <c r="C13" s="4" t="str">
        <f aca="false">IFERROR(INDEX('Kitoblar Katalogi'!C$3:C$52,MATCH(LARGE('Kitoblar Katalogi'!E$3:E$52,11),'Kitoblar Katalogi'!E$3:E$52,0)),"")</f>
        <v>Asqad Muxtor</v>
      </c>
      <c r="D13" s="3" t="str">
        <f aca="false">IFERROR(INDEX('Kitoblar Katalogi'!D$3:D$52,MATCH(LARGE('Kitoblar Katalogi'!E$3:E$52,11),'Kitoblar Katalogi'!E$3:E$52,0)),"")</f>
        <v>Psixologiya</v>
      </c>
      <c r="E13" s="5" t="n">
        <f aca="false">IFERROR(LARGE('Kitoblar Katalogi'!E$3:E$52,11),"")</f>
        <v>98227</v>
      </c>
      <c r="F13" s="4" t="n">
        <f aca="false">IFERROR(INDEX('Kitoblar Katalogi'!F$3:F$52,MATCH(LARGE('Kitoblar Katalogi'!E$3:E$52,11),'Kitoblar Katalogi'!E$3:E$52,0)),"")</f>
        <v>11</v>
      </c>
      <c r="G13" s="5" t="n">
        <f aca="false">IFERROR(INDEX('Kitoblar Katalogi'!G$3:G$52,MATCH(LARGE('Kitoblar Katalogi'!E$3:E$52,11),'Kitoblar Katalogi'!E$3:E$52,0)),"")</f>
        <v>1080497</v>
      </c>
    </row>
    <row r="14" customFormat="false" ht="15" hidden="false" customHeight="false" outlineLevel="0" collapsed="false">
      <c r="A14" s="6" t="n">
        <f aca="false">IFERROR(INDEX('Kitoblar Katalogi'!A$3:A$52,MATCH(LARGE('Kitoblar Katalogi'!E$3:E$52,12),'Kitoblar Katalogi'!E$3:E$52,0)),"")</f>
        <v>33</v>
      </c>
      <c r="B14" s="7" t="str">
        <f aca="false">IFERROR(INDEX('Kitoblar Katalogi'!B$3:B$52,MATCH(LARGE('Kitoblar Katalogi'!E$3:E$52,12),'Kitoblar Katalogi'!E$3:E$52,0)),"")</f>
        <v>Dante Aligeri</v>
      </c>
      <c r="C14" s="7" t="str">
        <f aca="false">IFERROR(INDEX('Kitoblar Katalogi'!C$3:C$52,MATCH(LARGE('Kitoblar Katalogi'!E$3:E$52,12),'Kitoblar Katalogi'!E$3:E$52,0)),"")</f>
        <v>Ilohiy komediya</v>
      </c>
      <c r="D14" s="6" t="str">
        <f aca="false">IFERROR(INDEX('Kitoblar Katalogi'!D$3:D$52,MATCH(LARGE('Kitoblar Katalogi'!E$3:E$52,12),'Kitoblar Katalogi'!E$3:E$52,0)),"")</f>
        <v>Ilm-fan</v>
      </c>
      <c r="E14" s="8" t="n">
        <f aca="false">IFERROR(LARGE('Kitoblar Katalogi'!E$3:E$52,12),"")</f>
        <v>96070</v>
      </c>
      <c r="F14" s="7" t="n">
        <f aca="false">IFERROR(INDEX('Kitoblar Katalogi'!F$3:F$52,MATCH(LARGE('Kitoblar Katalogi'!E$3:E$52,12),'Kitoblar Katalogi'!E$3:E$52,0)),"")</f>
        <v>24</v>
      </c>
      <c r="G14" s="8" t="n">
        <f aca="false">IFERROR(INDEX('Kitoblar Katalogi'!G$3:G$52,MATCH(LARGE('Kitoblar Katalogi'!E$3:E$52,12),'Kitoblar Katalogi'!E$3:E$52,0)),"")</f>
        <v>2305680</v>
      </c>
    </row>
    <row r="15" customFormat="false" ht="15" hidden="false" customHeight="false" outlineLevel="0" collapsed="false">
      <c r="A15" s="3" t="n">
        <f aca="false">IFERROR(INDEX('Kitoblar Katalogi'!A$3:A$52,MATCH(LARGE('Kitoblar Katalogi'!E$3:E$52,13),'Kitoblar Katalogi'!E$3:E$52,0)),"")</f>
        <v>27</v>
      </c>
      <c r="B15" s="4" t="str">
        <f aca="false">IFERROR(INDEX('Kitoblar Katalogi'!B$3:B$52,MATCH(LARGE('Kitoblar Katalogi'!E$3:E$52,13),'Kitoblar Katalogi'!E$3:E$52,0)),"")</f>
        <v>Yangi jasur dunyo</v>
      </c>
      <c r="C15" s="4" t="str">
        <f aca="false">IFERROR(INDEX('Kitoblar Katalogi'!C$3:C$52,MATCH(LARGE('Kitoblar Katalogi'!E$3:E$52,13),'Kitoblar Katalogi'!E$3:E$52,0)),"")</f>
        <v>Oldos Haksli</v>
      </c>
      <c r="D15" s="3" t="str">
        <f aca="false">IFERROR(INDEX('Kitoblar Katalogi'!D$3:D$52,MATCH(LARGE('Kitoblar Katalogi'!E$3:E$52,13),'Kitoblar Katalogi'!E$3:E$52,0)),"")</f>
        <v>Detektiv</v>
      </c>
      <c r="E15" s="5" t="n">
        <f aca="false">IFERROR(LARGE('Kitoblar Katalogi'!E$3:E$52,13),"")</f>
        <v>94131</v>
      </c>
      <c r="F15" s="4" t="n">
        <f aca="false">IFERROR(INDEX('Kitoblar Katalogi'!F$3:F$52,MATCH(LARGE('Kitoblar Katalogi'!E$3:E$52,13),'Kitoblar Katalogi'!E$3:E$52,0)),"")</f>
        <v>17</v>
      </c>
      <c r="G15" s="5" t="n">
        <f aca="false">IFERROR(INDEX('Kitoblar Katalogi'!G$3:G$52,MATCH(LARGE('Kitoblar Katalogi'!E$3:E$52,13),'Kitoblar Katalogi'!E$3:E$52,0)),"")</f>
        <v>1600227</v>
      </c>
    </row>
    <row r="16" customFormat="false" ht="15" hidden="false" customHeight="false" outlineLevel="0" collapsed="false">
      <c r="A16" s="6" t="n">
        <f aca="false">IFERROR(INDEX('Kitoblar Katalogi'!A$3:A$52,MATCH(LARGE('Kitoblar Katalogi'!E$3:E$52,14),'Kitoblar Katalogi'!E$3:E$52,0)),"")</f>
        <v>12</v>
      </c>
      <c r="B16" s="7" t="str">
        <f aca="false">IFERROR(INDEX('Kitoblar Katalogi'!B$3:B$52,MATCH(LARGE('Kitoblar Katalogi'!E$3:E$52,14),'Kitoblar Katalogi'!E$3:E$52,0)),"")</f>
        <v>Romeo va Juletta</v>
      </c>
      <c r="C16" s="7" t="str">
        <f aca="false">IFERROR(INDEX('Kitoblar Katalogi'!C$3:C$52,MATCH(LARGE('Kitoblar Katalogi'!E$3:E$52,14),'Kitoblar Katalogi'!E$3:E$52,0)),"")</f>
        <v>Shekspir</v>
      </c>
      <c r="D16" s="6" t="str">
        <f aca="false">IFERROR(INDEX('Kitoblar Katalogi'!D$3:D$52,MATCH(LARGE('Kitoblar Katalogi'!E$3:E$52,14),'Kitoblar Katalogi'!E$3:E$52,0)),"")</f>
        <v>Tarix</v>
      </c>
      <c r="E16" s="8" t="n">
        <f aca="false">IFERROR(LARGE('Kitoblar Katalogi'!E$3:E$52,14),"")</f>
        <v>93907</v>
      </c>
      <c r="F16" s="7" t="n">
        <f aca="false">IFERROR(INDEX('Kitoblar Katalogi'!F$3:F$52,MATCH(LARGE('Kitoblar Katalogi'!E$3:E$52,14),'Kitoblar Katalogi'!E$3:E$52,0)),"")</f>
        <v>2</v>
      </c>
      <c r="G16" s="8" t="n">
        <f aca="false">IFERROR(INDEX('Kitoblar Katalogi'!G$3:G$52,MATCH(LARGE('Kitoblar Katalogi'!E$3:E$52,14),'Kitoblar Katalogi'!E$3:E$52,0)),"")</f>
        <v>187814</v>
      </c>
    </row>
    <row r="17" customFormat="false" ht="15" hidden="false" customHeight="false" outlineLevel="0" collapsed="false">
      <c r="A17" s="3" t="n">
        <f aca="false">IFERROR(INDEX('Kitoblar Katalogi'!A$3:A$52,MATCH(LARGE('Kitoblar Katalogi'!E$3:E$52,15),'Kitoblar Katalogi'!E$3:E$52,0)),"")</f>
        <v>8</v>
      </c>
      <c r="B17" s="4" t="str">
        <f aca="false">IFERROR(INDEX('Kitoblar Katalogi'!B$3:B$52,MATCH(LARGE('Kitoblar Katalogi'!E$3:E$52,15),'Kitoblar Katalogi'!E$3:E$52,0)),"")</f>
        <v>Dunyoning ishlari</v>
      </c>
      <c r="C17" s="4" t="str">
        <f aca="false">IFERROR(INDEX('Kitoblar Katalogi'!C$3:C$52,MATCH(LARGE('Kitoblar Katalogi'!E$3:E$52,15),'Kitoblar Katalogi'!E$3:E$52,0)),"")</f>
        <v>Said Ahmad</v>
      </c>
      <c r="D17" s="3" t="str">
        <f aca="false">IFERROR(INDEX('Kitoblar Katalogi'!D$3:D$52,MATCH(LARGE('Kitoblar Katalogi'!E$3:E$52,15),'Kitoblar Katalogi'!E$3:E$52,0)),"")</f>
        <v>Psixologiya</v>
      </c>
      <c r="E17" s="5" t="n">
        <f aca="false">IFERROR(LARGE('Kitoblar Katalogi'!E$3:E$52,15),"")</f>
        <v>92397</v>
      </c>
      <c r="F17" s="4" t="n">
        <f aca="false">IFERROR(INDEX('Kitoblar Katalogi'!F$3:F$52,MATCH(LARGE('Kitoblar Katalogi'!E$3:E$52,15),'Kitoblar Katalogi'!E$3:E$52,0)),"")</f>
        <v>28</v>
      </c>
      <c r="G17" s="5" t="n">
        <f aca="false">IFERROR(INDEX('Kitoblar Katalogi'!G$3:G$52,MATCH(LARGE('Kitoblar Katalogi'!E$3:E$52,15),'Kitoblar Katalogi'!E$3:E$52,0)),"")</f>
        <v>2587116</v>
      </c>
    </row>
    <row r="18" customFormat="false" ht="15" hidden="false" customHeight="false" outlineLevel="0" collapsed="false">
      <c r="A18" s="6" t="n">
        <f aca="false">IFERROR(INDEX('Kitoblar Katalogi'!A$3:A$52,MATCH(LARGE('Kitoblar Katalogi'!E$3:E$52,16),'Kitoblar Katalogi'!E$3:E$52,0)),"")</f>
        <v>34</v>
      </c>
      <c r="B18" s="7" t="str">
        <f aca="false">IFERROR(INDEX('Kitoblar Katalogi'!B$3:B$52,MATCH(LARGE('Kitoblar Katalogi'!E$3:E$52,16),'Kitoblar Katalogi'!E$3:E$52,0)),"")</f>
        <v>Hamlet</v>
      </c>
      <c r="C18" s="7" t="str">
        <f aca="false">IFERROR(INDEX('Kitoblar Katalogi'!C$3:C$52,MATCH(LARGE('Kitoblar Katalogi'!E$3:E$52,16),'Kitoblar Katalogi'!E$3:E$52,0)),"")</f>
        <v>Shekspir</v>
      </c>
      <c r="D18" s="6" t="str">
        <f aca="false">IFERROR(INDEX('Kitoblar Katalogi'!D$3:D$52,MATCH(LARGE('Kitoblar Katalogi'!E$3:E$52,16),'Kitoblar Katalogi'!E$3:E$52,0)),"")</f>
        <v>She'riyat</v>
      </c>
      <c r="E18" s="8" t="n">
        <f aca="false">IFERROR(LARGE('Kitoblar Katalogi'!E$3:E$52,16),"")</f>
        <v>90674</v>
      </c>
      <c r="F18" s="7" t="n">
        <f aca="false">IFERROR(INDEX('Kitoblar Katalogi'!F$3:F$52,MATCH(LARGE('Kitoblar Katalogi'!E$3:E$52,16),'Kitoblar Katalogi'!E$3:E$52,0)),"")</f>
        <v>13</v>
      </c>
      <c r="G18" s="8" t="n">
        <f aca="false">IFERROR(INDEX('Kitoblar Katalogi'!G$3:G$52,MATCH(LARGE('Kitoblar Katalogi'!E$3:E$52,16),'Kitoblar Katalogi'!E$3:E$52,0)),"")</f>
        <v>1178762</v>
      </c>
    </row>
    <row r="19" customFormat="false" ht="15" hidden="false" customHeight="false" outlineLevel="0" collapsed="false">
      <c r="A19" s="3" t="n">
        <f aca="false">IFERROR(INDEX('Kitoblar Katalogi'!A$3:A$52,MATCH(LARGE('Kitoblar Katalogi'!E$3:E$52,17),'Kitoblar Katalogi'!E$3:E$52,0)),"")</f>
        <v>13</v>
      </c>
      <c r="B19" s="4" t="str">
        <f aca="false">IFERROR(INDEX('Kitoblar Katalogi'!B$3:B$52,MATCH(LARGE('Kitoblar Katalogi'!E$3:E$52,17),'Kitoblar Katalogi'!E$3:E$52,0)),"")</f>
        <v>Urush va tinchlik</v>
      </c>
      <c r="C19" s="4" t="str">
        <f aca="false">IFERROR(INDEX('Kitoblar Katalogi'!C$3:C$52,MATCH(LARGE('Kitoblar Katalogi'!E$3:E$52,17),'Kitoblar Katalogi'!E$3:E$52,0)),"")</f>
        <v>Tolstoy</v>
      </c>
      <c r="D19" s="3" t="str">
        <f aca="false">IFERROR(INDEX('Kitoblar Katalogi'!D$3:D$52,MATCH(LARGE('Kitoblar Katalogi'!E$3:E$52,17),'Kitoblar Katalogi'!E$3:E$52,0)),"")</f>
        <v>Ilm-fan</v>
      </c>
      <c r="E19" s="5" t="n">
        <f aca="false">IFERROR(LARGE('Kitoblar Katalogi'!E$3:E$52,17),"")</f>
        <v>88563</v>
      </c>
      <c r="F19" s="4" t="n">
        <f aca="false">IFERROR(INDEX('Kitoblar Katalogi'!F$3:F$52,MATCH(LARGE('Kitoblar Katalogi'!E$3:E$52,17),'Kitoblar Katalogi'!E$3:E$52,0)),"")</f>
        <v>13</v>
      </c>
      <c r="G19" s="5" t="n">
        <f aca="false">IFERROR(INDEX('Kitoblar Katalogi'!G$3:G$52,MATCH(LARGE('Kitoblar Katalogi'!E$3:E$52,17),'Kitoblar Katalogi'!E$3:E$52,0)),"")</f>
        <v>1151319</v>
      </c>
    </row>
    <row r="20" customFormat="false" ht="15" hidden="false" customHeight="false" outlineLevel="0" collapsed="false">
      <c r="A20" s="6" t="n">
        <f aca="false">IFERROR(INDEX('Kitoblar Katalogi'!A$3:A$52,MATCH(LARGE('Kitoblar Katalogi'!E$3:E$52,18),'Kitoblar Katalogi'!E$3:E$52,0)),"")</f>
        <v>7</v>
      </c>
      <c r="B20" s="7" t="str">
        <f aca="false">IFERROR(INDEX('Kitoblar Katalogi'!B$3:B$52,MATCH(LARGE('Kitoblar Katalogi'!E$3:E$52,18),'Kitoblar Katalogi'!E$3:E$52,0)),"")</f>
        <v>Shum bola</v>
      </c>
      <c r="C20" s="7" t="str">
        <f aca="false">IFERROR(INDEX('Kitoblar Katalogi'!C$3:C$52,MATCH(LARGE('Kitoblar Katalogi'!E$3:E$52,18),'Kitoblar Katalogi'!E$3:E$52,0)),"")</f>
        <v>G'afur G'ulom</v>
      </c>
      <c r="D20" s="6" t="str">
        <f aca="false">IFERROR(INDEX('Kitoblar Katalogi'!D$3:D$52,MATCH(LARGE('Kitoblar Katalogi'!E$3:E$52,18),'Kitoblar Katalogi'!E$3:E$52,0)),"")</f>
        <v>Detektiv</v>
      </c>
      <c r="E20" s="8" t="n">
        <f aca="false">IFERROR(LARGE('Kitoblar Katalogi'!E$3:E$52,18),"")</f>
        <v>86482</v>
      </c>
      <c r="F20" s="7" t="n">
        <f aca="false">IFERROR(INDEX('Kitoblar Katalogi'!F$3:F$52,MATCH(LARGE('Kitoblar Katalogi'!E$3:E$52,18),'Kitoblar Katalogi'!E$3:E$52,0)),"")</f>
        <v>6</v>
      </c>
      <c r="G20" s="8" t="n">
        <f aca="false">IFERROR(INDEX('Kitoblar Katalogi'!G$3:G$52,MATCH(LARGE('Kitoblar Katalogi'!E$3:E$52,18),'Kitoblar Katalogi'!E$3:E$52,0)),"")</f>
        <v>518892</v>
      </c>
    </row>
    <row r="21" customFormat="false" ht="15" hidden="false" customHeight="false" outlineLevel="0" collapsed="false">
      <c r="A21" s="3" t="n">
        <f aca="false">IFERROR(INDEX('Kitoblar Katalogi'!A$3:A$52,MATCH(LARGE('Kitoblar Katalogi'!E$3:E$52,19),'Kitoblar Katalogi'!E$3:E$52,0)),"")</f>
        <v>49</v>
      </c>
      <c r="B21" s="4" t="str">
        <f aca="false">IFERROR(INDEX('Kitoblar Katalogi'!B$3:B$52,MATCH(LARGE('Kitoblar Katalogi'!E$3:E$52,19),'Kitoblar Katalogi'!E$3:E$52,0)),"")</f>
        <v>Dafina</v>
      </c>
      <c r="C21" s="4" t="str">
        <f aca="false">IFERROR(INDEX('Kitoblar Katalogi'!C$3:C$52,MATCH(LARGE('Kitoblar Katalogi'!E$3:E$52,19),'Kitoblar Katalogi'!E$3:E$52,0)),"")</f>
        <v>Shukur Xolmirzayev</v>
      </c>
      <c r="D21" s="3" t="str">
        <f aca="false">IFERROR(INDEX('Kitoblar Katalogi'!D$3:D$52,MATCH(LARGE('Kitoblar Katalogi'!E$3:E$52,19),'Kitoblar Katalogi'!E$3:E$52,0)),"")</f>
        <v>Bolalar</v>
      </c>
      <c r="E21" s="5" t="n">
        <f aca="false">IFERROR(LARGE('Kitoblar Katalogi'!E$3:E$52,19),"")</f>
        <v>85010</v>
      </c>
      <c r="F21" s="4" t="n">
        <f aca="false">IFERROR(INDEX('Kitoblar Katalogi'!F$3:F$52,MATCH(LARGE('Kitoblar Katalogi'!E$3:E$52,19),'Kitoblar Katalogi'!E$3:E$52,0)),"")</f>
        <v>47</v>
      </c>
      <c r="G21" s="5" t="n">
        <f aca="false">IFERROR(INDEX('Kitoblar Katalogi'!G$3:G$52,MATCH(LARGE('Kitoblar Katalogi'!E$3:E$52,19),'Kitoblar Katalogi'!E$3:E$52,0)),"")</f>
        <v>3995470</v>
      </c>
    </row>
    <row r="22" customFormat="false" ht="15" hidden="false" customHeight="false" outlineLevel="0" collapsed="false">
      <c r="A22" s="6" t="n">
        <f aca="false">IFERROR(INDEX('Kitoblar Katalogi'!A$3:A$52,MATCH(LARGE('Kitoblar Katalogi'!E$3:E$52,20),'Kitoblar Katalogi'!E$3:E$52,0)),"")</f>
        <v>29</v>
      </c>
      <c r="B22" s="7" t="str">
        <f aca="false">IFERROR(INDEX('Kitoblar Katalogi'!B$3:B$52,MATCH(LARGE('Kitoblar Katalogi'!E$3:E$52,20),'Kitoblar Katalogi'!E$3:E$52,0)),"")</f>
        <v>Yo'qolgan vaqt izidan</v>
      </c>
      <c r="C22" s="7" t="str">
        <f aca="false">IFERROR(INDEX('Kitoblar Katalogi'!C$3:C$52,MATCH(LARGE('Kitoblar Katalogi'!E$3:E$52,20),'Kitoblar Katalogi'!E$3:E$52,0)),"")</f>
        <v>Prust</v>
      </c>
      <c r="D22" s="6" t="str">
        <f aca="false">IFERROR(INDEX('Kitoblar Katalogi'!D$3:D$52,MATCH(LARGE('Kitoblar Katalogi'!E$3:E$52,20),'Kitoblar Katalogi'!E$3:E$52,0)),"")</f>
        <v>Bolalar</v>
      </c>
      <c r="E22" s="8" t="n">
        <f aca="false">IFERROR(LARGE('Kitoblar Katalogi'!E$3:E$52,20),"")</f>
        <v>75217</v>
      </c>
      <c r="F22" s="7" t="n">
        <f aca="false">IFERROR(INDEX('Kitoblar Katalogi'!F$3:F$52,MATCH(LARGE('Kitoblar Katalogi'!E$3:E$52,20),'Kitoblar Katalogi'!E$3:E$52,0)),"")</f>
        <v>35</v>
      </c>
      <c r="G22" s="8" t="n">
        <f aca="false">IFERROR(INDEX('Kitoblar Katalogi'!G$3:G$52,MATCH(LARGE('Kitoblar Katalogi'!E$3:E$52,20),'Kitoblar Katalogi'!E$3:E$52,0)),"")</f>
        <v>2632595</v>
      </c>
    </row>
    <row r="23" customFormat="false" ht="15" hidden="false" customHeight="false" outlineLevel="0" collapsed="false">
      <c r="A23" s="3" t="n">
        <f aca="false">IFERROR(INDEX('Kitoblar Katalogi'!A$3:A$52,MATCH(LARGE('Kitoblar Katalogi'!E$3:E$52,21),'Kitoblar Katalogi'!E$3:E$52,0)),"")</f>
        <v>41</v>
      </c>
      <c r="B23" s="4" t="str">
        <f aca="false">IFERROR(INDEX('Kitoblar Katalogi'!B$3:B$52,MATCH(LARGE('Kitoblar Katalogi'!E$3:E$52,21),'Kitoblar Katalogi'!E$3:E$52,0)),"")</f>
        <v>Qizil va qora</v>
      </c>
      <c r="C23" s="4" t="str">
        <f aca="false">IFERROR(INDEX('Kitoblar Katalogi'!C$3:C$52,MATCH(LARGE('Kitoblar Katalogi'!E$3:E$52,21),'Kitoblar Katalogi'!E$3:E$52,0)),"")</f>
        <v>Stendal</v>
      </c>
      <c r="D23" s="3" t="str">
        <f aca="false">IFERROR(INDEX('Kitoblar Katalogi'!D$3:D$52,MATCH(LARGE('Kitoblar Katalogi'!E$3:E$52,21),'Kitoblar Katalogi'!E$3:E$52,0)),"")</f>
        <v>Fantastika</v>
      </c>
      <c r="E23" s="5" t="n">
        <f aca="false">IFERROR(LARGE('Kitoblar Katalogi'!E$3:E$52,21),"")</f>
        <v>74429</v>
      </c>
      <c r="F23" s="4" t="n">
        <f aca="false">IFERROR(INDEX('Kitoblar Katalogi'!F$3:F$52,MATCH(LARGE('Kitoblar Katalogi'!E$3:E$52,21),'Kitoblar Katalogi'!E$3:E$52,0)),"")</f>
        <v>41</v>
      </c>
      <c r="G23" s="5" t="n">
        <f aca="false">IFERROR(INDEX('Kitoblar Katalogi'!G$3:G$52,MATCH(LARGE('Kitoblar Katalogi'!E$3:E$52,21),'Kitoblar Katalogi'!E$3:E$52,0)),"")</f>
        <v>3051589</v>
      </c>
    </row>
    <row r="24" customFormat="false" ht="15" hidden="false" customHeight="false" outlineLevel="0" collapsed="false">
      <c r="A24" s="6" t="n">
        <f aca="false">IFERROR(INDEX('Kitoblar Katalogi'!A$3:A$52,MATCH(LARGE('Kitoblar Katalogi'!E$3:E$52,22),'Kitoblar Katalogi'!E$3:E$52,0)),"")</f>
        <v>17</v>
      </c>
      <c r="B24" s="7" t="str">
        <f aca="false">IFERROR(INDEX('Kitoblar Katalogi'!B$3:B$52,MATCH(LARGE('Kitoblar Katalogi'!E$3:E$52,22),'Kitoblar Katalogi'!E$3:E$52,0)),"")</f>
        <v>Usta va Margarita</v>
      </c>
      <c r="C24" s="7" t="str">
        <f aca="false">IFERROR(INDEX('Kitoblar Katalogi'!C$3:C$52,MATCH(LARGE('Kitoblar Katalogi'!E$3:E$52,22),'Kitoblar Katalogi'!E$3:E$52,0)),"")</f>
        <v>Bulgakov</v>
      </c>
      <c r="D24" s="6" t="str">
        <f aca="false">IFERROR(INDEX('Kitoblar Katalogi'!D$3:D$52,MATCH(LARGE('Kitoblar Katalogi'!E$3:E$52,22),'Kitoblar Katalogi'!E$3:E$52,0)),"")</f>
        <v>Detektiv</v>
      </c>
      <c r="E24" s="8" t="n">
        <f aca="false">IFERROR(LARGE('Kitoblar Katalogi'!E$3:E$52,22),"")</f>
        <v>73878</v>
      </c>
      <c r="F24" s="7" t="n">
        <f aca="false">IFERROR(INDEX('Kitoblar Katalogi'!F$3:F$52,MATCH(LARGE('Kitoblar Katalogi'!E$3:E$52,22),'Kitoblar Katalogi'!E$3:E$52,0)),"")</f>
        <v>38</v>
      </c>
      <c r="G24" s="8" t="n">
        <f aca="false">IFERROR(INDEX('Kitoblar Katalogi'!G$3:G$52,MATCH(LARGE('Kitoblar Katalogi'!E$3:E$52,22),'Kitoblar Katalogi'!E$3:E$52,0)),"")</f>
        <v>2807364</v>
      </c>
    </row>
    <row r="25" customFormat="false" ht="15" hidden="false" customHeight="false" outlineLevel="0" collapsed="false">
      <c r="A25" s="3" t="n">
        <f aca="false">IFERROR(INDEX('Kitoblar Katalogi'!A$3:A$52,MATCH(LARGE('Kitoblar Katalogi'!E$3:E$52,23),'Kitoblar Katalogi'!E$3:E$52,0)),"")</f>
        <v>16</v>
      </c>
      <c r="B25" s="4" t="str">
        <f aca="false">IFERROR(INDEX('Kitoblar Katalogi'!B$3:B$52,MATCH(LARGE('Kitoblar Katalogi'!E$3:E$52,23),'Kitoblar Katalogi'!E$3:E$52,0)),"")</f>
        <v>Idiot</v>
      </c>
      <c r="C25" s="4" t="str">
        <f aca="false">IFERROR(INDEX('Kitoblar Katalogi'!C$3:C$52,MATCH(LARGE('Kitoblar Katalogi'!E$3:E$52,23),'Kitoblar Katalogi'!E$3:E$52,0)),"")</f>
        <v>Dostoevskiy</v>
      </c>
      <c r="D25" s="3" t="str">
        <f aca="false">IFERROR(INDEX('Kitoblar Katalogi'!D$3:D$52,MATCH(LARGE('Kitoblar Katalogi'!E$3:E$52,23),'Kitoblar Katalogi'!E$3:E$52,0)),"")</f>
        <v>Biografiya</v>
      </c>
      <c r="E25" s="5" t="n">
        <f aca="false">IFERROR(LARGE('Kitoblar Katalogi'!E$3:E$52,23),"")</f>
        <v>69987</v>
      </c>
      <c r="F25" s="4" t="n">
        <f aca="false">IFERROR(INDEX('Kitoblar Katalogi'!F$3:F$52,MATCH(LARGE('Kitoblar Katalogi'!E$3:E$52,23),'Kitoblar Katalogi'!E$3:E$52,0)),"")</f>
        <v>15</v>
      </c>
      <c r="G25" s="5" t="n">
        <f aca="false">IFERROR(INDEX('Kitoblar Katalogi'!G$3:G$52,MATCH(LARGE('Kitoblar Katalogi'!E$3:E$52,23),'Kitoblar Katalogi'!E$3:E$52,0)),"")</f>
        <v>1049805</v>
      </c>
    </row>
    <row r="26" customFormat="false" ht="15" hidden="false" customHeight="false" outlineLevel="0" collapsed="false">
      <c r="A26" s="6" t="n">
        <f aca="false">IFERROR(INDEX('Kitoblar Katalogi'!A$3:A$52,MATCH(LARGE('Kitoblar Katalogi'!E$3:E$52,24),'Kitoblar Katalogi'!E$3:E$52,0)),"")</f>
        <v>40</v>
      </c>
      <c r="B26" s="7" t="str">
        <f aca="false">IFERROR(INDEX('Kitoblar Katalogi'!B$3:B$52,MATCH(LARGE('Kitoblar Katalogi'!E$3:E$52,24),'Kitoblar Katalogi'!E$3:E$52,0)),"")</f>
        <v>Baxtsiz oshiq</v>
      </c>
      <c r="C26" s="7" t="str">
        <f aca="false">IFERROR(INDEX('Kitoblar Katalogi'!C$3:C$52,MATCH(LARGE('Kitoblar Katalogi'!E$3:E$52,24),'Kitoblar Katalogi'!E$3:E$52,0)),"")</f>
        <v>Gyote</v>
      </c>
      <c r="D26" s="6" t="str">
        <f aca="false">IFERROR(INDEX('Kitoblar Katalogi'!D$3:D$52,MATCH(LARGE('Kitoblar Katalogi'!E$3:E$52,24),'Kitoblar Katalogi'!E$3:E$52,0)),"")</f>
        <v>Roman</v>
      </c>
      <c r="E26" s="8" t="n">
        <f aca="false">IFERROR(LARGE('Kitoblar Katalogi'!E$3:E$52,24),"")</f>
        <v>64823</v>
      </c>
      <c r="F26" s="7" t="n">
        <f aca="false">IFERROR(INDEX('Kitoblar Katalogi'!F$3:F$52,MATCH(LARGE('Kitoblar Katalogi'!E$3:E$52,24),'Kitoblar Katalogi'!E$3:E$52,0)),"")</f>
        <v>18</v>
      </c>
      <c r="G26" s="8" t="n">
        <f aca="false">IFERROR(INDEX('Kitoblar Katalogi'!G$3:G$52,MATCH(LARGE('Kitoblar Katalogi'!E$3:E$52,24),'Kitoblar Katalogi'!E$3:E$52,0)),"")</f>
        <v>1166814</v>
      </c>
    </row>
    <row r="27" customFormat="false" ht="15" hidden="false" customHeight="false" outlineLevel="0" collapsed="false">
      <c r="A27" s="3" t="n">
        <f aca="false">IFERROR(INDEX('Kitoblar Katalogi'!A$3:A$52,MATCH(LARGE('Kitoblar Katalogi'!E$3:E$52,25),'Kitoblar Katalogi'!E$3:E$52,0)),"")</f>
        <v>25</v>
      </c>
      <c r="B27" s="4" t="str">
        <f aca="false">IFERROR(INDEX('Kitoblar Katalogi'!B$3:B$52,MATCH(LARGE('Kitoblar Katalogi'!E$3:E$52,25),'Kitoblar Katalogi'!E$3:E$52,0)),"")</f>
        <v>1984</v>
      </c>
      <c r="C27" s="4" t="str">
        <f aca="false">IFERROR(INDEX('Kitoblar Katalogi'!C$3:C$52,MATCH(LARGE('Kitoblar Katalogi'!E$3:E$52,25),'Kitoblar Katalogi'!E$3:E$52,0)),"")</f>
        <v>Jorj Oruell</v>
      </c>
      <c r="D27" s="3" t="str">
        <f aca="false">IFERROR(INDEX('Kitoblar Katalogi'!D$3:D$52,MATCH(LARGE('Kitoblar Katalogi'!E$3:E$52,25),'Kitoblar Katalogi'!E$3:E$52,0)),"")</f>
        <v>Falsafa</v>
      </c>
      <c r="E27" s="5" t="n">
        <f aca="false">IFERROR(LARGE('Kitoblar Katalogi'!E$3:E$52,25),"")</f>
        <v>64797</v>
      </c>
      <c r="F27" s="4" t="n">
        <f aca="false">IFERROR(INDEX('Kitoblar Katalogi'!F$3:F$52,MATCH(LARGE('Kitoblar Katalogi'!E$3:E$52,25),'Kitoblar Katalogi'!E$3:E$52,0)),"")</f>
        <v>7</v>
      </c>
      <c r="G27" s="5" t="n">
        <f aca="false">IFERROR(INDEX('Kitoblar Katalogi'!G$3:G$52,MATCH(LARGE('Kitoblar Katalogi'!E$3:E$52,25),'Kitoblar Katalogi'!E$3:E$52,0)),"")</f>
        <v>453579</v>
      </c>
    </row>
    <row r="28" customFormat="false" ht="15" hidden="false" customHeight="false" outlineLevel="0" collapsed="false">
      <c r="A28" s="6" t="n">
        <f aca="false">IFERROR(INDEX('Kitoblar Katalogi'!A$3:A$52,MATCH(LARGE('Kitoblar Katalogi'!E$3:E$52,26),'Kitoblar Katalogi'!E$3:E$52,0)),"")</f>
        <v>43</v>
      </c>
      <c r="B28" s="7" t="str">
        <f aca="false">IFERROR(INDEX('Kitoblar Katalogi'!B$3:B$52,MATCH(LARGE('Kitoblar Katalogi'!E$3:E$52,26),'Kitoblar Katalogi'!E$3:E$52,0)),"")</f>
        <v>Graf Monte-Kristo</v>
      </c>
      <c r="C28" s="7" t="str">
        <f aca="false">IFERROR(INDEX('Kitoblar Katalogi'!C$3:C$52,MATCH(LARGE('Kitoblar Katalogi'!E$3:E$52,26),'Kitoblar Katalogi'!E$3:E$52,0)),"")</f>
        <v>Dyuma</v>
      </c>
      <c r="D28" s="6" t="str">
        <f aca="false">IFERROR(INDEX('Kitoblar Katalogi'!D$3:D$52,MATCH(LARGE('Kitoblar Katalogi'!E$3:E$52,26),'Kitoblar Katalogi'!E$3:E$52,0)),"")</f>
        <v>Ilm-fan</v>
      </c>
      <c r="E28" s="8" t="n">
        <f aca="false">IFERROR(LARGE('Kitoblar Katalogi'!E$3:E$52,26),"")</f>
        <v>63520</v>
      </c>
      <c r="F28" s="7" t="n">
        <f aca="false">IFERROR(INDEX('Kitoblar Katalogi'!F$3:F$52,MATCH(LARGE('Kitoblar Katalogi'!E$3:E$52,26),'Kitoblar Katalogi'!E$3:E$52,0)),"")</f>
        <v>23</v>
      </c>
      <c r="G28" s="8" t="n">
        <f aca="false">IFERROR(INDEX('Kitoblar Katalogi'!G$3:G$52,MATCH(LARGE('Kitoblar Katalogi'!E$3:E$52,26),'Kitoblar Katalogi'!E$3:E$52,0)),"")</f>
        <v>1460960</v>
      </c>
    </row>
    <row r="29" customFormat="false" ht="15" hidden="false" customHeight="false" outlineLevel="0" collapsed="false">
      <c r="A29" s="3" t="n">
        <f aca="false">IFERROR(INDEX('Kitoblar Katalogi'!A$3:A$52,MATCH(LARGE('Kitoblar Katalogi'!E$3:E$52,27),'Kitoblar Katalogi'!E$3:E$52,0)),"")</f>
        <v>42</v>
      </c>
      <c r="B29" s="4" t="str">
        <f aca="false">IFERROR(INDEX('Kitoblar Katalogi'!B$3:B$52,MATCH(LARGE('Kitoblar Katalogi'!E$3:E$52,27),'Kitoblar Katalogi'!E$3:E$52,0)),"")</f>
        <v>Baxtsizlar</v>
      </c>
      <c r="C29" s="4" t="str">
        <f aca="false">IFERROR(INDEX('Kitoblar Katalogi'!C$3:C$52,MATCH(LARGE('Kitoblar Katalogi'!E$3:E$52,27),'Kitoblar Katalogi'!E$3:E$52,0)),"")</f>
        <v>Gyugo</v>
      </c>
      <c r="D29" s="3" t="str">
        <f aca="false">IFERROR(INDEX('Kitoblar Katalogi'!D$3:D$52,MATCH(LARGE('Kitoblar Katalogi'!E$3:E$52,27),'Kitoblar Katalogi'!E$3:E$52,0)),"")</f>
        <v>Tarix</v>
      </c>
      <c r="E29" s="5" t="n">
        <f aca="false">IFERROR(LARGE('Kitoblar Katalogi'!E$3:E$52,27),"")</f>
        <v>62819</v>
      </c>
      <c r="F29" s="4" t="n">
        <f aca="false">IFERROR(INDEX('Kitoblar Katalogi'!F$3:F$52,MATCH(LARGE('Kitoblar Katalogi'!E$3:E$52,27),'Kitoblar Katalogi'!E$3:E$52,0)),"")</f>
        <v>11</v>
      </c>
      <c r="G29" s="5" t="n">
        <f aca="false">IFERROR(INDEX('Kitoblar Katalogi'!G$3:G$52,MATCH(LARGE('Kitoblar Katalogi'!E$3:E$52,27),'Kitoblar Katalogi'!E$3:E$52,0)),"")</f>
        <v>691009</v>
      </c>
    </row>
    <row r="30" customFormat="false" ht="15" hidden="false" customHeight="false" outlineLevel="0" collapsed="false">
      <c r="A30" s="6" t="n">
        <f aca="false">IFERROR(INDEX('Kitoblar Katalogi'!A$3:A$52,MATCH(LARGE('Kitoblar Katalogi'!E$3:E$52,28),'Kitoblar Katalogi'!E$3:E$52,0)),"")</f>
        <v>26</v>
      </c>
      <c r="B30" s="7" t="str">
        <f aca="false">IFERROR(INDEX('Kitoblar Katalogi'!B$3:B$52,MATCH(LARGE('Kitoblar Katalogi'!E$3:E$52,28),'Kitoblar Katalogi'!E$3:E$52,0)),"")</f>
        <v>Hayvonlar fermasi</v>
      </c>
      <c r="C30" s="7" t="str">
        <f aca="false">IFERROR(INDEX('Kitoblar Katalogi'!C$3:C$52,MATCH(LARGE('Kitoblar Katalogi'!E$3:E$52,28),'Kitoblar Katalogi'!E$3:E$52,0)),"")</f>
        <v>Jorj Oruell</v>
      </c>
      <c r="D30" s="6" t="str">
        <f aca="false">IFERROR(INDEX('Kitoblar Katalogi'!D$3:D$52,MATCH(LARGE('Kitoblar Katalogi'!E$3:E$52,28),'Kitoblar Katalogi'!E$3:E$52,0)),"")</f>
        <v>Biografiya</v>
      </c>
      <c r="E30" s="8" t="n">
        <f aca="false">IFERROR(LARGE('Kitoblar Katalogi'!E$3:E$52,28),"")</f>
        <v>62052</v>
      </c>
      <c r="F30" s="7" t="n">
        <f aca="false">IFERROR(INDEX('Kitoblar Katalogi'!F$3:F$52,MATCH(LARGE('Kitoblar Katalogi'!E$3:E$52,28),'Kitoblar Katalogi'!E$3:E$52,0)),"")</f>
        <v>23</v>
      </c>
      <c r="G30" s="8" t="n">
        <f aca="false">IFERROR(INDEX('Kitoblar Katalogi'!G$3:G$52,MATCH(LARGE('Kitoblar Katalogi'!E$3:E$52,28),'Kitoblar Katalogi'!E$3:E$52,0)),"")</f>
        <v>1427196</v>
      </c>
    </row>
    <row r="31" customFormat="false" ht="15" hidden="false" customHeight="false" outlineLevel="0" collapsed="false">
      <c r="A31" s="3" t="n">
        <f aca="false">IFERROR(INDEX('Kitoblar Katalogi'!A$3:A$52,MATCH(LARGE('Kitoblar Katalogi'!E$3:E$52,29),'Kitoblar Katalogi'!E$3:E$52,0)),"")</f>
        <v>21</v>
      </c>
      <c r="B31" s="4" t="str">
        <f aca="false">IFERROR(INDEX('Kitoblar Katalogi'!B$3:B$52,MATCH(LARGE('Kitoblar Katalogi'!E$3:E$52,29),'Kitoblar Katalogi'!E$3:E$52,0)),"")</f>
        <v>Qor</v>
      </c>
      <c r="C31" s="4" t="str">
        <f aca="false">IFERROR(INDEX('Kitoblar Katalogi'!C$3:C$52,MATCH(LARGE('Kitoblar Katalogi'!E$3:E$52,29),'Kitoblar Katalogi'!E$3:E$52,0)),"")</f>
        <v>Orhan Pamuk</v>
      </c>
      <c r="D31" s="3" t="str">
        <f aca="false">IFERROR(INDEX('Kitoblar Katalogi'!D$3:D$52,MATCH(LARGE('Kitoblar Katalogi'!E$3:E$52,29),'Kitoblar Katalogi'!E$3:E$52,0)),"")</f>
        <v>Fantastika</v>
      </c>
      <c r="E31" s="5" t="n">
        <f aca="false">IFERROR(LARGE('Kitoblar Katalogi'!E$3:E$52,29),"")</f>
        <v>59597</v>
      </c>
      <c r="F31" s="4" t="n">
        <f aca="false">IFERROR(INDEX('Kitoblar Katalogi'!F$3:F$52,MATCH(LARGE('Kitoblar Katalogi'!E$3:E$52,29),'Kitoblar Katalogi'!E$3:E$52,0)),"")</f>
        <v>18</v>
      </c>
      <c r="G31" s="5" t="n">
        <f aca="false">IFERROR(INDEX('Kitoblar Katalogi'!G$3:G$52,MATCH(LARGE('Kitoblar Katalogi'!E$3:E$52,29),'Kitoblar Katalogi'!E$3:E$52,0)),"")</f>
        <v>1072746</v>
      </c>
    </row>
    <row r="32" customFormat="false" ht="15" hidden="false" customHeight="false" outlineLevel="0" collapsed="false">
      <c r="A32" s="6" t="n">
        <f aca="false">IFERROR(INDEX('Kitoblar Katalogi'!A$3:A$52,MATCH(LARGE('Kitoblar Katalogi'!E$3:E$52,30),'Kitoblar Katalogi'!E$3:E$52,0)),"")</f>
        <v>32</v>
      </c>
      <c r="B32" s="7" t="str">
        <f aca="false">IFERROR(INDEX('Kitoblar Katalogi'!B$3:B$52,MATCH(LARGE('Kitoblar Katalogi'!E$3:E$52,30),'Kitoblar Katalogi'!E$3:E$52,0)),"")</f>
        <v>Faust</v>
      </c>
      <c r="C32" s="7" t="str">
        <f aca="false">IFERROR(INDEX('Kitoblar Katalogi'!C$3:C$52,MATCH(LARGE('Kitoblar Katalogi'!E$3:E$52,30),'Kitoblar Katalogi'!E$3:E$52,0)),"")</f>
        <v>Gyote</v>
      </c>
      <c r="D32" s="6" t="str">
        <f aca="false">IFERROR(INDEX('Kitoblar Katalogi'!D$3:D$52,MATCH(LARGE('Kitoblar Katalogi'!E$3:E$52,30),'Kitoblar Katalogi'!E$3:E$52,0)),"")</f>
        <v>Tarix</v>
      </c>
      <c r="E32" s="8" t="n">
        <f aca="false">IFERROR(LARGE('Kitoblar Katalogi'!E$3:E$52,30),"")</f>
        <v>53427</v>
      </c>
      <c r="F32" s="7" t="n">
        <f aca="false">IFERROR(INDEX('Kitoblar Katalogi'!F$3:F$52,MATCH(LARGE('Kitoblar Katalogi'!E$3:E$52,30),'Kitoblar Katalogi'!E$3:E$52,0)),"")</f>
        <v>41</v>
      </c>
      <c r="G32" s="8" t="n">
        <f aca="false">IFERROR(INDEX('Kitoblar Katalogi'!G$3:G$52,MATCH(LARGE('Kitoblar Katalogi'!E$3:E$52,30),'Kitoblar Katalogi'!E$3:E$52,0)),"")</f>
        <v>2190507</v>
      </c>
    </row>
    <row r="33" customFormat="false" ht="15" hidden="false" customHeight="false" outlineLevel="0" collapsed="false">
      <c r="A33" s="3" t="n">
        <f aca="false">IFERROR(INDEX('Kitoblar Katalogi'!A$3:A$52,MATCH(LARGE('Kitoblar Katalogi'!E$3:E$52,31),'Kitoblar Katalogi'!E$3:E$52,0)),"")</f>
        <v>38</v>
      </c>
      <c r="B33" s="4" t="str">
        <f aca="false">IFERROR(INDEX('Kitoblar Katalogi'!B$3:B$52,MATCH(LARGE('Kitoblar Katalogi'!E$3:E$52,31),'Kitoblar Katalogi'!E$3:E$52,0)),"")</f>
        <v>Robinzon Kruzo</v>
      </c>
      <c r="C33" s="4" t="str">
        <f aca="false">IFERROR(INDEX('Kitoblar Katalogi'!C$3:C$52,MATCH(LARGE('Kitoblar Katalogi'!E$3:E$52,31),'Kitoblar Katalogi'!E$3:E$52,0)),"")</f>
        <v>Defo</v>
      </c>
      <c r="D33" s="3" t="str">
        <f aca="false">IFERROR(INDEX('Kitoblar Katalogi'!D$3:D$52,MATCH(LARGE('Kitoblar Katalogi'!E$3:E$52,31),'Kitoblar Katalogi'!E$3:E$52,0)),"")</f>
        <v>Psixologiya</v>
      </c>
      <c r="E33" s="5" t="n">
        <f aca="false">IFERROR(LARGE('Kitoblar Katalogi'!E$3:E$52,31),"")</f>
        <v>52930</v>
      </c>
      <c r="F33" s="4" t="n">
        <f aca="false">IFERROR(INDEX('Kitoblar Katalogi'!F$3:F$52,MATCH(LARGE('Kitoblar Katalogi'!E$3:E$52,31),'Kitoblar Katalogi'!E$3:E$52,0)),"")</f>
        <v>6</v>
      </c>
      <c r="G33" s="5" t="n">
        <f aca="false">IFERROR(INDEX('Kitoblar Katalogi'!G$3:G$52,MATCH(LARGE('Kitoblar Katalogi'!E$3:E$52,31),'Kitoblar Katalogi'!E$3:E$52,0)),"")</f>
        <v>317580</v>
      </c>
    </row>
    <row r="34" customFormat="false" ht="15" hidden="false" customHeight="false" outlineLevel="0" collapsed="false">
      <c r="A34" s="6" t="n">
        <f aca="false">IFERROR(INDEX('Kitoblar Katalogi'!A$3:A$52,MATCH(LARGE('Kitoblar Katalogi'!E$3:E$52,32),'Kitoblar Katalogi'!E$3:E$52,0)),"")</f>
        <v>18</v>
      </c>
      <c r="B34" s="7" t="str">
        <f aca="false">IFERROR(INDEX('Kitoblar Katalogi'!B$3:B$52,MATCH(LARGE('Kitoblar Katalogi'!E$3:E$52,32),'Kitoblar Katalogi'!E$3:E$52,0)),"")</f>
        <v>100 yillik yolg'izlik</v>
      </c>
      <c r="C34" s="7" t="str">
        <f aca="false">IFERROR(INDEX('Kitoblar Katalogi'!C$3:C$52,MATCH(LARGE('Kitoblar Katalogi'!E$3:E$52,32),'Kitoblar Katalogi'!E$3:E$52,0)),"")</f>
        <v>Markes</v>
      </c>
      <c r="D34" s="6" t="str">
        <f aca="false">IFERROR(INDEX('Kitoblar Katalogi'!D$3:D$52,MATCH(LARGE('Kitoblar Katalogi'!E$3:E$52,32),'Kitoblar Katalogi'!E$3:E$52,0)),"")</f>
        <v>Psixologiya</v>
      </c>
      <c r="E34" s="8" t="n">
        <f aca="false">IFERROR(LARGE('Kitoblar Katalogi'!E$3:E$52,32),"")</f>
        <v>51463</v>
      </c>
      <c r="F34" s="7" t="n">
        <f aca="false">IFERROR(INDEX('Kitoblar Katalogi'!F$3:F$52,MATCH(LARGE('Kitoblar Katalogi'!E$3:E$52,32),'Kitoblar Katalogi'!E$3:E$52,0)),"")</f>
        <v>1</v>
      </c>
      <c r="G34" s="8" t="n">
        <f aca="false">IFERROR(INDEX('Kitoblar Katalogi'!G$3:G$52,MATCH(LARGE('Kitoblar Katalogi'!E$3:E$52,32),'Kitoblar Katalogi'!E$3:E$52,0)),"")</f>
        <v>51463</v>
      </c>
    </row>
    <row r="35" customFormat="false" ht="15" hidden="false" customHeight="false" outlineLevel="0" collapsed="false">
      <c r="A35" s="3" t="n">
        <f aca="false">IFERROR(INDEX('Kitoblar Katalogi'!A$3:A$52,MATCH(LARGE('Kitoblar Katalogi'!E$3:E$52,33),'Kitoblar Katalogi'!E$3:E$52,0)),"")</f>
        <v>3</v>
      </c>
      <c r="B35" s="4" t="str">
        <f aca="false">IFERROR(INDEX('Kitoblar Katalogi'!B$3:B$52,MATCH(LARGE('Kitoblar Katalogi'!E$3:E$52,33),'Kitoblar Katalogi'!E$3:E$52,0)),"")</f>
        <v>Sarob</v>
      </c>
      <c r="C35" s="4" t="str">
        <f aca="false">IFERROR(INDEX('Kitoblar Katalogi'!C$3:C$52,MATCH(LARGE('Kitoblar Katalogi'!E$3:E$52,33),'Kitoblar Katalogi'!E$3:E$52,0)),"")</f>
        <v>Abdulla Qahhor</v>
      </c>
      <c r="D35" s="3" t="str">
        <f aca="false">IFERROR(INDEX('Kitoblar Katalogi'!D$3:D$52,MATCH(LARGE('Kitoblar Katalogi'!E$3:E$52,33),'Kitoblar Katalogi'!E$3:E$52,0)),"")</f>
        <v>Ilm-fan</v>
      </c>
      <c r="E35" s="5" t="n">
        <f aca="false">IFERROR(LARGE('Kitoblar Katalogi'!E$3:E$52,33),"")</f>
        <v>51048</v>
      </c>
      <c r="F35" s="4" t="n">
        <f aca="false">IFERROR(INDEX('Kitoblar Katalogi'!F$3:F$52,MATCH(LARGE('Kitoblar Katalogi'!E$3:E$52,33),'Kitoblar Katalogi'!E$3:E$52,0)),"")</f>
        <v>16</v>
      </c>
      <c r="G35" s="5" t="n">
        <f aca="false">IFERROR(INDEX('Kitoblar Katalogi'!G$3:G$52,MATCH(LARGE('Kitoblar Katalogi'!E$3:E$52,33),'Kitoblar Katalogi'!E$3:E$52,0)),"")</f>
        <v>816768</v>
      </c>
    </row>
    <row r="36" customFormat="false" ht="15" hidden="false" customHeight="false" outlineLevel="0" collapsed="false">
      <c r="A36" s="6" t="n">
        <f aca="false">IFERROR(INDEX('Kitoblar Katalogi'!A$3:A$52,MATCH(LARGE('Kitoblar Katalogi'!E$3:E$52,34),'Kitoblar Katalogi'!E$3:E$52,0)),"")</f>
        <v>45</v>
      </c>
      <c r="B36" s="7" t="str">
        <f aca="false">IFERROR(INDEX('Kitoblar Katalogi'!B$3:B$52,MATCH(LARGE('Kitoblar Katalogi'!E$3:E$52,34),'Kitoblar Katalogi'!E$3:E$52,0)),"")</f>
        <v>Piter Pan</v>
      </c>
      <c r="C36" s="7" t="str">
        <f aca="false">IFERROR(INDEX('Kitoblar Katalogi'!C$3:C$52,MATCH(LARGE('Kitoblar Katalogi'!E$3:E$52,34),'Kitoblar Katalogi'!E$3:E$52,0)),"")</f>
        <v>Barri</v>
      </c>
      <c r="D36" s="6" t="str">
        <f aca="false">IFERROR(INDEX('Kitoblar Katalogi'!D$3:D$52,MATCH(LARGE('Kitoblar Katalogi'!E$3:E$52,34),'Kitoblar Katalogi'!E$3:E$52,0)),"")</f>
        <v>Falsafa</v>
      </c>
      <c r="E36" s="8" t="n">
        <f aca="false">IFERROR(LARGE('Kitoblar Katalogi'!E$3:E$52,34),"")</f>
        <v>49993</v>
      </c>
      <c r="F36" s="7" t="n">
        <f aca="false">IFERROR(INDEX('Kitoblar Katalogi'!F$3:F$52,MATCH(LARGE('Kitoblar Katalogi'!E$3:E$52,34),'Kitoblar Katalogi'!E$3:E$52,0)),"")</f>
        <v>45</v>
      </c>
      <c r="G36" s="8" t="n">
        <f aca="false">IFERROR(INDEX('Kitoblar Katalogi'!G$3:G$52,MATCH(LARGE('Kitoblar Katalogi'!E$3:E$52,34),'Kitoblar Katalogi'!E$3:E$52,0)),"")</f>
        <v>2249685</v>
      </c>
    </row>
    <row r="37" customFormat="false" ht="15" hidden="false" customHeight="false" outlineLevel="0" collapsed="false">
      <c r="A37" s="3" t="n">
        <f aca="false">IFERROR(INDEX('Kitoblar Katalogi'!A$3:A$52,MATCH(LARGE('Kitoblar Katalogi'!E$3:E$52,35),'Kitoblar Katalogi'!E$3:E$52,0)),"")</f>
        <v>50</v>
      </c>
      <c r="B37" s="4" t="str">
        <f aca="false">IFERROR(INDEX('Kitoblar Katalogi'!B$3:B$52,MATCH(LARGE('Kitoblar Katalogi'!E$3:E$52,35),'Kitoblar Katalogi'!E$3:E$52,0)),"")</f>
        <v>Ko'hna dunyo</v>
      </c>
      <c r="C37" s="4" t="str">
        <f aca="false">IFERROR(INDEX('Kitoblar Katalogi'!C$3:C$52,MATCH(LARGE('Kitoblar Katalogi'!E$3:E$52,35),'Kitoblar Katalogi'!E$3:E$52,0)),"")</f>
        <v>Tog'ay Murod</v>
      </c>
      <c r="D37" s="3" t="str">
        <f aca="false">IFERROR(INDEX('Kitoblar Katalogi'!D$3:D$52,MATCH(LARGE('Kitoblar Katalogi'!E$3:E$52,35),'Kitoblar Katalogi'!E$3:E$52,0)),"")</f>
        <v>Roman</v>
      </c>
      <c r="E37" s="5" t="n">
        <f aca="false">IFERROR(LARGE('Kitoblar Katalogi'!E$3:E$52,35),"")</f>
        <v>47087</v>
      </c>
      <c r="F37" s="4" t="n">
        <f aca="false">IFERROR(INDEX('Kitoblar Katalogi'!F$3:F$52,MATCH(LARGE('Kitoblar Katalogi'!E$3:E$52,35),'Kitoblar Katalogi'!E$3:E$52,0)),"")</f>
        <v>11</v>
      </c>
      <c r="G37" s="5" t="n">
        <f aca="false">IFERROR(INDEX('Kitoblar Katalogi'!G$3:G$52,MATCH(LARGE('Kitoblar Katalogi'!E$3:E$52,35),'Kitoblar Katalogi'!E$3:E$52,0)),"")</f>
        <v>517957</v>
      </c>
    </row>
    <row r="38" customFormat="false" ht="15" hidden="false" customHeight="false" outlineLevel="0" collapsed="false">
      <c r="A38" s="6" t="n">
        <f aca="false">IFERROR(INDEX('Kitoblar Katalogi'!A$3:A$52,MATCH(LARGE('Kitoblar Katalogi'!E$3:E$52,36),'Kitoblar Katalogi'!E$3:E$52,0)),"")</f>
        <v>39</v>
      </c>
      <c r="B38" s="7" t="str">
        <f aca="false">IFERROR(INDEX('Kitoblar Katalogi'!B$3:B$52,MATCH(LARGE('Kitoblar Katalogi'!E$3:E$52,36),'Kitoblar Katalogi'!E$3:E$52,0)),"")</f>
        <v>Mobi Dik</v>
      </c>
      <c r="C38" s="7" t="str">
        <f aca="false">IFERROR(INDEX('Kitoblar Katalogi'!C$3:C$52,MATCH(LARGE('Kitoblar Katalogi'!E$3:E$52,36),'Kitoblar Katalogi'!E$3:E$52,0)),"")</f>
        <v>Melvill</v>
      </c>
      <c r="D38" s="6" t="str">
        <f aca="false">IFERROR(INDEX('Kitoblar Katalogi'!D$3:D$52,MATCH(LARGE('Kitoblar Katalogi'!E$3:E$52,36),'Kitoblar Katalogi'!E$3:E$52,0)),"")</f>
        <v>Bolalar</v>
      </c>
      <c r="E38" s="8" t="n">
        <f aca="false">IFERROR(LARGE('Kitoblar Katalogi'!E$3:E$52,36),"")</f>
        <v>45512</v>
      </c>
      <c r="F38" s="7" t="n">
        <f aca="false">IFERROR(INDEX('Kitoblar Katalogi'!F$3:F$52,MATCH(LARGE('Kitoblar Katalogi'!E$3:E$52,36),'Kitoblar Katalogi'!E$3:E$52,0)),"")</f>
        <v>7</v>
      </c>
      <c r="G38" s="8" t="n">
        <f aca="false">IFERROR(INDEX('Kitoblar Katalogi'!G$3:G$52,MATCH(LARGE('Kitoblar Katalogi'!E$3:E$52,36),'Kitoblar Katalogi'!E$3:E$52,0)),"")</f>
        <v>318584</v>
      </c>
    </row>
    <row r="39" customFormat="false" ht="15" hidden="false" customHeight="false" outlineLevel="0" collapsed="false">
      <c r="A39" s="3" t="n">
        <f aca="false">IFERROR(INDEX('Kitoblar Katalogi'!A$3:A$52,MATCH(LARGE('Kitoblar Katalogi'!E$3:E$52,37),'Kitoblar Katalogi'!E$3:E$52,0)),"")</f>
        <v>11</v>
      </c>
      <c r="B39" s="4" t="str">
        <f aca="false">IFERROR(INDEX('Kitoblar Katalogi'!B$3:B$52,MATCH(LARGE('Kitoblar Katalogi'!E$3:E$52,37),'Kitoblar Katalogi'!E$3:E$52,0)),"")</f>
        <v>Don Kixot</v>
      </c>
      <c r="C39" s="4" t="str">
        <f aca="false">IFERROR(INDEX('Kitoblar Katalogi'!C$3:C$52,MATCH(LARGE('Kitoblar Katalogi'!E$3:E$52,37),'Kitoblar Katalogi'!E$3:E$52,0)),"")</f>
        <v>Servantes</v>
      </c>
      <c r="D39" s="3" t="str">
        <f aca="false">IFERROR(INDEX('Kitoblar Katalogi'!D$3:D$52,MATCH(LARGE('Kitoblar Katalogi'!E$3:E$52,37),'Kitoblar Katalogi'!E$3:E$52,0)),"")</f>
        <v>Fantastika</v>
      </c>
      <c r="E39" s="5" t="n">
        <f aca="false">IFERROR(LARGE('Kitoblar Katalogi'!E$3:E$52,37),"")</f>
        <v>45495</v>
      </c>
      <c r="F39" s="4" t="n">
        <f aca="false">IFERROR(INDEX('Kitoblar Katalogi'!F$3:F$52,MATCH(LARGE('Kitoblar Katalogi'!E$3:E$52,37),'Kitoblar Katalogi'!E$3:E$52,0)),"")</f>
        <v>33</v>
      </c>
      <c r="G39" s="5" t="n">
        <f aca="false">IFERROR(INDEX('Kitoblar Katalogi'!G$3:G$52,MATCH(LARGE('Kitoblar Katalogi'!E$3:E$52,37),'Kitoblar Katalogi'!E$3:E$52,0)),"")</f>
        <v>1501335</v>
      </c>
    </row>
    <row r="40" customFormat="false" ht="15" hidden="false" customHeight="false" outlineLevel="0" collapsed="false">
      <c r="A40" s="6" t="n">
        <f aca="false">IFERROR(INDEX('Kitoblar Katalogi'!A$3:A$52,MATCH(LARGE('Kitoblar Katalogi'!E$3:E$52,38),'Kitoblar Katalogi'!E$3:E$52,0)),"")</f>
        <v>37</v>
      </c>
      <c r="B40" s="7" t="str">
        <f aca="false">IFERROR(INDEX('Kitoblar Katalogi'!B$3:B$52,MATCH(LARGE('Kitoblar Katalogi'!E$3:E$52,38),'Kitoblar Katalogi'!E$3:E$52,0)),"")</f>
        <v>Kichkina knyaz</v>
      </c>
      <c r="C40" s="7" t="str">
        <f aca="false">IFERROR(INDEX('Kitoblar Katalogi'!C$3:C$52,MATCH(LARGE('Kitoblar Katalogi'!E$3:E$52,38),'Kitoblar Katalogi'!E$3:E$52,0)),"")</f>
        <v>Sent-Ekzyuperi</v>
      </c>
      <c r="D40" s="6" t="str">
        <f aca="false">IFERROR(INDEX('Kitoblar Katalogi'!D$3:D$52,MATCH(LARGE('Kitoblar Katalogi'!E$3:E$52,38),'Kitoblar Katalogi'!E$3:E$52,0)),"")</f>
        <v>Detektiv</v>
      </c>
      <c r="E40" s="8" t="n">
        <f aca="false">IFERROR(LARGE('Kitoblar Katalogi'!E$3:E$52,38),"")</f>
        <v>44871</v>
      </c>
      <c r="F40" s="7" t="n">
        <f aca="false">IFERROR(INDEX('Kitoblar Katalogi'!F$3:F$52,MATCH(LARGE('Kitoblar Katalogi'!E$3:E$52,38),'Kitoblar Katalogi'!E$3:E$52,0)),"")</f>
        <v>50</v>
      </c>
      <c r="G40" s="8" t="n">
        <f aca="false">IFERROR(INDEX('Kitoblar Katalogi'!G$3:G$52,MATCH(LARGE('Kitoblar Katalogi'!E$3:E$52,38),'Kitoblar Katalogi'!E$3:E$52,0)),"")</f>
        <v>2243550</v>
      </c>
    </row>
    <row r="41" customFormat="false" ht="15" hidden="false" customHeight="false" outlineLevel="0" collapsed="false">
      <c r="A41" s="3" t="n">
        <f aca="false">IFERROR(INDEX('Kitoblar Katalogi'!A$3:A$52,MATCH(LARGE('Kitoblar Katalogi'!E$3:E$52,39),'Kitoblar Katalogi'!E$3:E$52,0)),"")</f>
        <v>4</v>
      </c>
      <c r="B41" s="4" t="str">
        <f aca="false">IFERROR(INDEX('Kitoblar Katalogi'!B$3:B$52,MATCH(LARGE('Kitoblar Katalogi'!E$3:E$52,39),'Kitoblar Katalogi'!E$3:E$52,0)),"")</f>
        <v>Qo'shchinor chiroqlari</v>
      </c>
      <c r="C41" s="4" t="str">
        <f aca="false">IFERROR(INDEX('Kitoblar Katalogi'!C$3:C$52,MATCH(LARGE('Kitoblar Katalogi'!E$3:E$52,39),'Kitoblar Katalogi'!E$3:E$52,0)),"")</f>
        <v>Oybek</v>
      </c>
      <c r="D41" s="3" t="str">
        <f aca="false">IFERROR(INDEX('Kitoblar Katalogi'!D$3:D$52,MATCH(LARGE('Kitoblar Katalogi'!E$3:E$52,39),'Kitoblar Katalogi'!E$3:E$52,0)),"")</f>
        <v>She'riyat</v>
      </c>
      <c r="E41" s="5" t="n">
        <f aca="false">IFERROR(LARGE('Kitoblar Katalogi'!E$3:E$52,39),"")</f>
        <v>44256</v>
      </c>
      <c r="F41" s="4" t="n">
        <f aca="false">IFERROR(INDEX('Kitoblar Katalogi'!F$3:F$52,MATCH(LARGE('Kitoblar Katalogi'!E$3:E$52,39),'Kitoblar Katalogi'!E$3:E$52,0)),"")</f>
        <v>9</v>
      </c>
      <c r="G41" s="5" t="n">
        <f aca="false">IFERROR(INDEX('Kitoblar Katalogi'!G$3:G$52,MATCH(LARGE('Kitoblar Katalogi'!E$3:E$52,39),'Kitoblar Katalogi'!E$3:E$52,0)),"")</f>
        <v>398304</v>
      </c>
    </row>
    <row r="42" customFormat="false" ht="15" hidden="false" customHeight="false" outlineLevel="0" collapsed="false">
      <c r="A42" s="6" t="n">
        <f aca="false">IFERROR(INDEX('Kitoblar Katalogi'!A$3:A$52,MATCH(LARGE('Kitoblar Katalogi'!E$3:E$52,40),'Kitoblar Katalogi'!E$3:E$52,0)),"")</f>
        <v>44</v>
      </c>
      <c r="B42" s="7" t="str">
        <f aca="false">IFERROR(INDEX('Kitoblar Katalogi'!B$3:B$52,MATCH(LARGE('Kitoblar Katalogi'!E$3:E$52,40),'Kitoblar Katalogi'!E$3:E$52,0)),"")</f>
        <v>Uch mushketyor</v>
      </c>
      <c r="C42" s="7" t="str">
        <f aca="false">IFERROR(INDEX('Kitoblar Katalogi'!C$3:C$52,MATCH(LARGE('Kitoblar Katalogi'!E$3:E$52,40),'Kitoblar Katalogi'!E$3:E$52,0)),"")</f>
        <v>Dyuma</v>
      </c>
      <c r="D42" s="6" t="str">
        <f aca="false">IFERROR(INDEX('Kitoblar Katalogi'!D$3:D$52,MATCH(LARGE('Kitoblar Katalogi'!E$3:E$52,40),'Kitoblar Katalogi'!E$3:E$52,0)),"")</f>
        <v>She'riyat</v>
      </c>
      <c r="E42" s="8" t="n">
        <f aca="false">IFERROR(LARGE('Kitoblar Katalogi'!E$3:E$52,40),"")</f>
        <v>42460</v>
      </c>
      <c r="F42" s="7" t="n">
        <f aca="false">IFERROR(INDEX('Kitoblar Katalogi'!F$3:F$52,MATCH(LARGE('Kitoblar Katalogi'!E$3:E$52,40),'Kitoblar Katalogi'!E$3:E$52,0)),"")</f>
        <v>43</v>
      </c>
      <c r="G42" s="8" t="n">
        <f aca="false">IFERROR(INDEX('Kitoblar Katalogi'!G$3:G$52,MATCH(LARGE('Kitoblar Katalogi'!E$3:E$52,40),'Kitoblar Katalogi'!E$3:E$52,0)),"")</f>
        <v>1825780</v>
      </c>
    </row>
    <row r="43" customFormat="false" ht="15" hidden="false" customHeight="false" outlineLevel="0" collapsed="false">
      <c r="A43" s="3" t="n">
        <f aca="false">IFERROR(INDEX('Kitoblar Katalogi'!A$3:A$52,MATCH(LARGE('Kitoblar Katalogi'!E$3:E$52,41),'Kitoblar Katalogi'!E$3:E$52,0)),"")</f>
        <v>22</v>
      </c>
      <c r="B43" s="4" t="str">
        <f aca="false">IFERROR(INDEX('Kitoblar Katalogi'!B$3:B$52,MATCH(LARGE('Kitoblar Katalogi'!E$3:E$52,41),'Kitoblar Katalogi'!E$3:E$52,0)),"")</f>
        <v>Uy</v>
      </c>
      <c r="C43" s="4" t="str">
        <f aca="false">IFERROR(INDEX('Kitoblar Katalogi'!C$3:C$52,MATCH(LARGE('Kitoblar Katalogi'!E$3:E$52,41),'Kitoblar Katalogi'!E$3:E$52,0)),"")</f>
        <v>Marilynne Robinson</v>
      </c>
      <c r="D43" s="3" t="str">
        <f aca="false">IFERROR(INDEX('Kitoblar Katalogi'!D$3:D$52,MATCH(LARGE('Kitoblar Katalogi'!E$3:E$52,41),'Kitoblar Katalogi'!E$3:E$52,0)),"")</f>
        <v>Tarix</v>
      </c>
      <c r="E43" s="5" t="n">
        <f aca="false">IFERROR(LARGE('Kitoblar Katalogi'!E$3:E$52,41),"")</f>
        <v>35379</v>
      </c>
      <c r="F43" s="4" t="n">
        <f aca="false">IFERROR(INDEX('Kitoblar Katalogi'!F$3:F$52,MATCH(LARGE('Kitoblar Katalogi'!E$3:E$52,41),'Kitoblar Katalogi'!E$3:E$52,0)),"")</f>
        <v>14</v>
      </c>
      <c r="G43" s="5" t="n">
        <f aca="false">IFERROR(INDEX('Kitoblar Katalogi'!G$3:G$52,MATCH(LARGE('Kitoblar Katalogi'!E$3:E$52,41),'Kitoblar Katalogi'!E$3:E$52,0)),"")</f>
        <v>495306</v>
      </c>
    </row>
    <row r="44" customFormat="false" ht="15" hidden="false" customHeight="false" outlineLevel="0" collapsed="false">
      <c r="A44" s="6" t="n">
        <f aca="false">IFERROR(INDEX('Kitoblar Katalogi'!A$3:A$52,MATCH(LARGE('Kitoblar Katalogi'!E$3:E$52,42),'Kitoblar Katalogi'!E$3:E$52,0)),"")</f>
        <v>30</v>
      </c>
      <c r="B44" s="7" t="str">
        <f aca="false">IFERROR(INDEX('Kitoblar Katalogi'!B$3:B$52,MATCH(LARGE('Kitoblar Katalogi'!E$3:E$52,42),'Kitoblar Katalogi'!E$3:E$52,0)),"")</f>
        <v>Odisseya</v>
      </c>
      <c r="C44" s="7" t="str">
        <f aca="false">IFERROR(INDEX('Kitoblar Katalogi'!C$3:C$52,MATCH(LARGE('Kitoblar Katalogi'!E$3:E$52,42),'Kitoblar Katalogi'!E$3:E$52,0)),"")</f>
        <v>Gomer</v>
      </c>
      <c r="D44" s="6" t="str">
        <f aca="false">IFERROR(INDEX('Kitoblar Katalogi'!D$3:D$52,MATCH(LARGE('Kitoblar Katalogi'!E$3:E$52,42),'Kitoblar Katalogi'!E$3:E$52,0)),"")</f>
        <v>Roman</v>
      </c>
      <c r="E44" s="8" t="n">
        <f aca="false">IFERROR(LARGE('Kitoblar Katalogi'!E$3:E$52,42),"")</f>
        <v>31361</v>
      </c>
      <c r="F44" s="7" t="n">
        <f aca="false">IFERROR(INDEX('Kitoblar Katalogi'!F$3:F$52,MATCH(LARGE('Kitoblar Katalogi'!E$3:E$52,42),'Kitoblar Katalogi'!E$3:E$52,0)),"")</f>
        <v>25</v>
      </c>
      <c r="G44" s="8" t="n">
        <f aca="false">IFERROR(INDEX('Kitoblar Katalogi'!G$3:G$52,MATCH(LARGE('Kitoblar Katalogi'!E$3:E$52,42),'Kitoblar Katalogi'!E$3:E$52,0)),"")</f>
        <v>784025</v>
      </c>
    </row>
    <row r="45" customFormat="false" ht="15" hidden="false" customHeight="false" outlineLevel="0" collapsed="false">
      <c r="A45" s="3" t="n">
        <f aca="false">IFERROR(INDEX('Kitoblar Katalogi'!A$3:A$52,MATCH(LARGE('Kitoblar Katalogi'!E$3:E$52,43),'Kitoblar Katalogi'!E$3:E$52,0)),"")</f>
        <v>24</v>
      </c>
      <c r="B45" s="4" t="str">
        <f aca="false">IFERROR(INDEX('Kitoblar Katalogi'!B$3:B$52,MATCH(LARGE('Kitoblar Katalogi'!E$3:E$52,43),'Kitoblar Katalogi'!E$3:E$52,0)),"")</f>
        <v>Chol va dengiz</v>
      </c>
      <c r="C45" s="4" t="str">
        <f aca="false">IFERROR(INDEX('Kitoblar Katalogi'!C$3:C$52,MATCH(LARGE('Kitoblar Katalogi'!E$3:E$52,43),'Kitoblar Katalogi'!E$3:E$52,0)),"")</f>
        <v>Xeminguey</v>
      </c>
      <c r="D45" s="3" t="str">
        <f aca="false">IFERROR(INDEX('Kitoblar Katalogi'!D$3:D$52,MATCH(LARGE('Kitoblar Katalogi'!E$3:E$52,43),'Kitoblar Katalogi'!E$3:E$52,0)),"")</f>
        <v>She'riyat</v>
      </c>
      <c r="E45" s="5" t="n">
        <f aca="false">IFERROR(LARGE('Kitoblar Katalogi'!E$3:E$52,43),"")</f>
        <v>28396</v>
      </c>
      <c r="F45" s="4" t="n">
        <f aca="false">IFERROR(INDEX('Kitoblar Katalogi'!F$3:F$52,MATCH(LARGE('Kitoblar Katalogi'!E$3:E$52,43),'Kitoblar Katalogi'!E$3:E$52,0)),"")</f>
        <v>6</v>
      </c>
      <c r="G45" s="5" t="n">
        <f aca="false">IFERROR(INDEX('Kitoblar Katalogi'!G$3:G$52,MATCH(LARGE('Kitoblar Katalogi'!E$3:E$52,43),'Kitoblar Katalogi'!E$3:E$52,0)),"")</f>
        <v>170376</v>
      </c>
    </row>
    <row r="46" customFormat="false" ht="15" hidden="false" customHeight="false" outlineLevel="0" collapsed="false">
      <c r="A46" s="6" t="n">
        <f aca="false">IFERROR(INDEX('Kitoblar Katalogi'!A$3:A$52,MATCH(LARGE('Kitoblar Katalogi'!E$3:E$52,44),'Kitoblar Katalogi'!E$3:E$52,0)),"")</f>
        <v>10</v>
      </c>
      <c r="B46" s="7" t="str">
        <f aca="false">IFERROR(INDEX('Kitoblar Katalogi'!B$3:B$52,MATCH(LARGE('Kitoblar Katalogi'!E$3:E$52,44),'Kitoblar Katalogi'!E$3:E$52,0)),"")</f>
        <v>Avlodlar dovoni</v>
      </c>
      <c r="C46" s="7" t="str">
        <f aca="false">IFERROR(INDEX('Kitoblar Katalogi'!C$3:C$52,MATCH(LARGE('Kitoblar Katalogi'!E$3:E$52,44),'Kitoblar Katalogi'!E$3:E$52,0)),"")</f>
        <v>Pirimqul Qodirov</v>
      </c>
      <c r="D46" s="6" t="str">
        <f aca="false">IFERROR(INDEX('Kitoblar Katalogi'!D$3:D$52,MATCH(LARGE('Kitoblar Katalogi'!E$3:E$52,44),'Kitoblar Katalogi'!E$3:E$52,0)),"")</f>
        <v>Roman</v>
      </c>
      <c r="E46" s="8" t="n">
        <f aca="false">IFERROR(LARGE('Kitoblar Katalogi'!E$3:E$52,44),"")</f>
        <v>27280</v>
      </c>
      <c r="F46" s="7" t="n">
        <f aca="false">IFERROR(INDEX('Kitoblar Katalogi'!F$3:F$52,MATCH(LARGE('Kitoblar Katalogi'!E$3:E$52,44),'Kitoblar Katalogi'!E$3:E$52,0)),"")</f>
        <v>14</v>
      </c>
      <c r="G46" s="8" t="n">
        <f aca="false">IFERROR(INDEX('Kitoblar Katalogi'!G$3:G$52,MATCH(LARGE('Kitoblar Katalogi'!E$3:E$52,44),'Kitoblar Katalogi'!E$3:E$52,0)),"")</f>
        <v>381920</v>
      </c>
    </row>
    <row r="47" customFormat="false" ht="15" hidden="false" customHeight="false" outlineLevel="0" collapsed="false">
      <c r="A47" s="3" t="n">
        <f aca="false">IFERROR(INDEX('Kitoblar Katalogi'!A$3:A$52,MATCH(LARGE('Kitoblar Katalogi'!E$3:E$52,45),'Kitoblar Katalogi'!E$3:E$52,0)),"")</f>
        <v>31</v>
      </c>
      <c r="B47" s="4" t="str">
        <f aca="false">IFERROR(INDEX('Kitoblar Katalogi'!B$3:B$52,MATCH(LARGE('Kitoblar Katalogi'!E$3:E$52,45),'Kitoblar Katalogi'!E$3:E$52,0)),"")</f>
        <v>Iliad</v>
      </c>
      <c r="C47" s="4" t="str">
        <f aca="false">IFERROR(INDEX('Kitoblar Katalogi'!C$3:C$52,MATCH(LARGE('Kitoblar Katalogi'!E$3:E$52,45),'Kitoblar Katalogi'!E$3:E$52,0)),"")</f>
        <v>Gomer</v>
      </c>
      <c r="D47" s="3" t="str">
        <f aca="false">IFERROR(INDEX('Kitoblar Katalogi'!D$3:D$52,MATCH(LARGE('Kitoblar Katalogi'!E$3:E$52,45),'Kitoblar Katalogi'!E$3:E$52,0)),"")</f>
        <v>Fantastika</v>
      </c>
      <c r="E47" s="5" t="n">
        <f aca="false">IFERROR(LARGE('Kitoblar Katalogi'!E$3:E$52,45),"")</f>
        <v>25328</v>
      </c>
      <c r="F47" s="4" t="n">
        <f aca="false">IFERROR(INDEX('Kitoblar Katalogi'!F$3:F$52,MATCH(LARGE('Kitoblar Katalogi'!E$3:E$52,45),'Kitoblar Katalogi'!E$3:E$52,0)),"")</f>
        <v>36</v>
      </c>
      <c r="G47" s="5" t="n">
        <f aca="false">IFERROR(INDEX('Kitoblar Katalogi'!G$3:G$52,MATCH(LARGE('Kitoblar Katalogi'!E$3:E$52,45),'Kitoblar Katalogi'!E$3:E$52,0)),"")</f>
        <v>911808</v>
      </c>
    </row>
    <row r="48" customFormat="false" ht="15" hidden="false" customHeight="false" outlineLevel="0" collapsed="false">
      <c r="A48" s="6" t="n">
        <f aca="false">IFERROR(INDEX('Kitoblar Katalogi'!A$3:A$52,MATCH(LARGE('Kitoblar Katalogi'!E$3:E$52,46),'Kitoblar Katalogi'!E$3:E$52,0)),"")</f>
        <v>47</v>
      </c>
      <c r="B48" s="7" t="str">
        <f aca="false">IFERROR(INDEX('Kitoblar Katalogi'!B$3:B$52,MATCH(LARGE('Kitoblar Katalogi'!E$3:E$52,46),'Kitoblar Katalogi'!E$3:E$52,0)),"")</f>
        <v>Mushtumzo'r</v>
      </c>
      <c r="C48" s="7" t="str">
        <f aca="false">IFERROR(INDEX('Kitoblar Katalogi'!C$3:C$52,MATCH(LARGE('Kitoblar Katalogi'!E$3:E$52,46),'Kitoblar Katalogi'!E$3:E$52,0)),"")</f>
        <v>Abdulla Qahhor</v>
      </c>
      <c r="D48" s="6" t="str">
        <f aca="false">IFERROR(INDEX('Kitoblar Katalogi'!D$3:D$52,MATCH(LARGE('Kitoblar Katalogi'!E$3:E$52,46),'Kitoblar Katalogi'!E$3:E$52,0)),"")</f>
        <v>Detektiv</v>
      </c>
      <c r="E48" s="8" t="n">
        <f aca="false">IFERROR(LARGE('Kitoblar Katalogi'!E$3:E$52,46),"")</f>
        <v>24358</v>
      </c>
      <c r="F48" s="7" t="n">
        <f aca="false">IFERROR(INDEX('Kitoblar Katalogi'!F$3:F$52,MATCH(LARGE('Kitoblar Katalogi'!E$3:E$52,46),'Kitoblar Katalogi'!E$3:E$52,0)),"")</f>
        <v>39</v>
      </c>
      <c r="G48" s="8" t="n">
        <f aca="false">IFERROR(INDEX('Kitoblar Katalogi'!G$3:G$52,MATCH(LARGE('Kitoblar Katalogi'!E$3:E$52,46),'Kitoblar Katalogi'!E$3:E$52,0)),"")</f>
        <v>949962</v>
      </c>
    </row>
    <row r="49" customFormat="false" ht="15" hidden="false" customHeight="false" outlineLevel="0" collapsed="false">
      <c r="A49" s="3" t="n">
        <f aca="false">IFERROR(INDEX('Kitoblar Katalogi'!A$3:A$52,MATCH(LARGE('Kitoblar Katalogi'!E$3:E$52,47),'Kitoblar Katalogi'!E$3:E$52,0)),"")</f>
        <v>36</v>
      </c>
      <c r="B49" s="4" t="str">
        <f aca="false">IFERROR(INDEX('Kitoblar Katalogi'!B$3:B$52,MATCH(LARGE('Kitoblar Katalogi'!E$3:E$52,47),'Kitoblar Katalogi'!E$3:E$52,0)),"")</f>
        <v>Otello</v>
      </c>
      <c r="C49" s="4" t="str">
        <f aca="false">IFERROR(INDEX('Kitoblar Katalogi'!C$3:C$52,MATCH(LARGE('Kitoblar Katalogi'!E$3:E$52,47),'Kitoblar Katalogi'!E$3:E$52,0)),"")</f>
        <v>Shekspir</v>
      </c>
      <c r="D49" s="3" t="str">
        <f aca="false">IFERROR(INDEX('Kitoblar Katalogi'!D$3:D$52,MATCH(LARGE('Kitoblar Katalogi'!E$3:E$52,47),'Kitoblar Katalogi'!E$3:E$52,0)),"")</f>
        <v>Biografiya</v>
      </c>
      <c r="E49" s="5" t="n">
        <f aca="false">IFERROR(LARGE('Kitoblar Katalogi'!E$3:E$52,47),"")</f>
        <v>21006</v>
      </c>
      <c r="F49" s="4" t="n">
        <f aca="false">IFERROR(INDEX('Kitoblar Katalogi'!F$3:F$52,MATCH(LARGE('Kitoblar Katalogi'!E$3:E$52,47),'Kitoblar Katalogi'!E$3:E$52,0)),"")</f>
        <v>43</v>
      </c>
      <c r="G49" s="5" t="n">
        <f aca="false">IFERROR(INDEX('Kitoblar Katalogi'!G$3:G$52,MATCH(LARGE('Kitoblar Katalogi'!E$3:E$52,47),'Kitoblar Katalogi'!E$3:E$52,0)),"")</f>
        <v>903258</v>
      </c>
    </row>
    <row r="50" customFormat="false" ht="15" hidden="false" customHeight="false" outlineLevel="0" collapsed="false">
      <c r="A50" s="6" t="n">
        <f aca="false">IFERROR(INDEX('Kitoblar Katalogi'!A$3:A$52,MATCH(LARGE('Kitoblar Katalogi'!E$3:E$52,48),'Kitoblar Katalogi'!E$3:E$52,0)),"")</f>
        <v>28</v>
      </c>
      <c r="B50" s="7" t="str">
        <f aca="false">IFERROR(INDEX('Kitoblar Katalogi'!B$3:B$52,MATCH(LARGE('Kitoblar Katalogi'!E$3:E$52,48),'Kitoblar Katalogi'!E$3:E$52,0)),"")</f>
        <v>Fahrenheit 451</v>
      </c>
      <c r="C50" s="7" t="str">
        <f aca="false">IFERROR(INDEX('Kitoblar Katalogi'!C$3:C$52,MATCH(LARGE('Kitoblar Katalogi'!E$3:E$52,48),'Kitoblar Katalogi'!E$3:E$52,0)),"")</f>
        <v>Rey Bredberri</v>
      </c>
      <c r="D50" s="6" t="str">
        <f aca="false">IFERROR(INDEX('Kitoblar Katalogi'!D$3:D$52,MATCH(LARGE('Kitoblar Katalogi'!E$3:E$52,48),'Kitoblar Katalogi'!E$3:E$52,0)),"")</f>
        <v>Psixologiya</v>
      </c>
      <c r="E50" s="8" t="n">
        <f aca="false">IFERROR(LARGE('Kitoblar Katalogi'!E$3:E$52,48),"")</f>
        <v>20695</v>
      </c>
      <c r="F50" s="7" t="n">
        <f aca="false">IFERROR(INDEX('Kitoblar Katalogi'!F$3:F$52,MATCH(LARGE('Kitoblar Katalogi'!E$3:E$52,48),'Kitoblar Katalogi'!E$3:E$52,0)),"")</f>
        <v>47</v>
      </c>
      <c r="G50" s="8" t="n">
        <f aca="false">IFERROR(INDEX('Kitoblar Katalogi'!G$3:G$52,MATCH(LARGE('Kitoblar Katalogi'!E$3:E$52,48),'Kitoblar Katalogi'!E$3:E$52,0)),"")</f>
        <v>972665</v>
      </c>
    </row>
    <row r="51" customFormat="false" ht="15" hidden="false" customHeight="false" outlineLevel="0" collapsed="false">
      <c r="A51" s="3" t="n">
        <f aca="false">IFERROR(INDEX('Kitoblar Katalogi'!A$3:A$52,MATCH(LARGE('Kitoblar Katalogi'!E$3:E$52,49),'Kitoblar Katalogi'!E$3:E$52,0)),"")</f>
        <v>9</v>
      </c>
      <c r="B51" s="4" t="str">
        <f aca="false">IFERROR(INDEX('Kitoblar Katalogi'!B$3:B$52,MATCH(LARGE('Kitoblar Katalogi'!E$3:E$52,49),'Kitoblar Katalogi'!E$3:E$52,0)),"")</f>
        <v>Yulduzli tunlar</v>
      </c>
      <c r="C51" s="4" t="str">
        <f aca="false">IFERROR(INDEX('Kitoblar Katalogi'!C$3:C$52,MATCH(LARGE('Kitoblar Katalogi'!E$3:E$52,49),'Kitoblar Katalogi'!E$3:E$52,0)),"")</f>
        <v>Pirimqul Qodirov</v>
      </c>
      <c r="D51" s="3" t="str">
        <f aca="false">IFERROR(INDEX('Kitoblar Katalogi'!D$3:D$52,MATCH(LARGE('Kitoblar Katalogi'!E$3:E$52,49),'Kitoblar Katalogi'!E$3:E$52,0)),"")</f>
        <v>Bolalar</v>
      </c>
      <c r="E51" s="5" t="n">
        <f aca="false">IFERROR(LARGE('Kitoblar Katalogi'!E$3:E$52,49),"")</f>
        <v>19165</v>
      </c>
      <c r="F51" s="4" t="n">
        <f aca="false">IFERROR(INDEX('Kitoblar Katalogi'!F$3:F$52,MATCH(LARGE('Kitoblar Katalogi'!E$3:E$52,49),'Kitoblar Katalogi'!E$3:E$52,0)),"")</f>
        <v>2</v>
      </c>
      <c r="G51" s="5" t="n">
        <f aca="false">IFERROR(INDEX('Kitoblar Katalogi'!G$3:G$52,MATCH(LARGE('Kitoblar Katalogi'!E$3:E$52,49),'Kitoblar Katalogi'!E$3:E$52,0)),"")</f>
        <v>38330</v>
      </c>
    </row>
    <row r="52" customFormat="false" ht="15" hidden="false" customHeight="false" outlineLevel="0" collapsed="false">
      <c r="A52" s="6" t="n">
        <f aca="false">IFERROR(INDEX('Kitoblar Katalogi'!A$3:A$52,MATCH(LARGE('Kitoblar Katalogi'!E$3:E$52,50),'Kitoblar Katalogi'!E$3:E$52,0)),"")</f>
        <v>2</v>
      </c>
      <c r="B52" s="7" t="str">
        <f aca="false">IFERROR(INDEX('Kitoblar Katalogi'!B$3:B$52,MATCH(LARGE('Kitoblar Katalogi'!E$3:E$52,50),'Kitoblar Katalogi'!E$3:E$52,0)),"")</f>
        <v>Mehrobdan chayon</v>
      </c>
      <c r="C52" s="7" t="str">
        <f aca="false">IFERROR(INDEX('Kitoblar Katalogi'!C$3:C$52,MATCH(LARGE('Kitoblar Katalogi'!E$3:E$52,50),'Kitoblar Katalogi'!E$3:E$52,0)),"")</f>
        <v>Abdulla Qodiriy</v>
      </c>
      <c r="D52" s="6" t="str">
        <f aca="false">IFERROR(INDEX('Kitoblar Katalogi'!D$3:D$52,MATCH(LARGE('Kitoblar Katalogi'!E$3:E$52,50),'Kitoblar Katalogi'!E$3:E$52,0)),"")</f>
        <v>Tarix</v>
      </c>
      <c r="E52" s="8" t="n">
        <f aca="false">IFERROR(LARGE('Kitoblar Katalogi'!E$3:E$52,50),"")</f>
        <v>18278</v>
      </c>
      <c r="F52" s="7" t="n">
        <f aca="false">IFERROR(INDEX('Kitoblar Katalogi'!F$3:F$52,MATCH(LARGE('Kitoblar Katalogi'!E$3:E$52,50),'Kitoblar Katalogi'!E$3:E$52,0)),"")</f>
        <v>48</v>
      </c>
      <c r="G52" s="8" t="n">
        <f aca="false">IFERROR(INDEX('Kitoblar Katalogi'!G$3:G$52,MATCH(LARGE('Kitoblar Katalogi'!E$3:E$52,50),'Kitoblar Katalogi'!E$3:E$52,0)),"")</f>
        <v>877344</v>
      </c>
    </row>
    <row r="53" customFormat="false" ht="15" hidden="false" customHeight="false" outlineLevel="0" collapsed="false">
      <c r="A53" s="20" t="s">
        <v>109</v>
      </c>
      <c r="B53" s="20"/>
      <c r="C53" s="20"/>
      <c r="D53" s="20"/>
      <c r="E53" s="20"/>
      <c r="F53" s="20"/>
      <c r="G53" s="20"/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</row>
  </sheetData>
  <mergeCells count="2">
    <mergeCell ref="A1:G1"/>
    <mergeCell ref="A53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2026-06-14T17:43:04Z</dcterms:created>
  <dc:creator>openpyxl</dc:creator>
  <dc:description/>
  <dc:language>en-US</dc:language>
  <cp:lastModifiedBy/>
  <dcterms:modified xsi:type="dcterms:W3CDTF">2026-06-14T17:43:04Z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